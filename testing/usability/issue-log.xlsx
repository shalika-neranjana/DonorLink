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3cb7d8fec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end" sheetId="1" r:id="R0b642db18c5e4f1b"/>
    <x:sheet xmlns:r="http://schemas.openxmlformats.org/officeDocument/2006/relationships" name="Issues" sheetId="2" r:id="R7e3bbc7558944d6e"/>
    <x:sheet xmlns:r="http://schemas.openxmlformats.org/officeDocument/2006/relationships" name="Severity Scale" sheetId="3" r:id="R7d77cca940f94ded"/>
    <x:sheet xmlns:r="http://schemas.openxmlformats.org/officeDocument/2006/relationships" name="Tasks" sheetId="4" r:id="Ra6671366fa5a4638"/>
    <x:sheet xmlns:r="http://schemas.openxmlformats.org/officeDocument/2006/relationships" name="Lists" sheetId="5" r:id="R1c67e60fdd63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7">
    <x:font>
      <x:sz val="11"/>
      <x:color theme="1"/>
      <x:name val="Calibri"/>
      <x:family val="2"/>
      <x:scheme val="minor"/>
    </x:font>
    <x:font>
      <x:b/>
      <x:sz val="14"/>
      <x:name val="Arial"/>
    </x:font>
    <x:font>
      <x:sz val="10"/>
      <x:name val="Arial"/>
    </x:font>
    <x:font>
      <x:b/>
      <x:sz val="1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i/>
      <x:sz val="9"/>
      <x:color rgb="FF5555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9DB"/>
      </x:patternFill>
    </x:fill>
    <x:fill>
      <x:patternFill patternType="solid">
        <x:fgColor rgb="FFEEF2F7"/>
      </x:patternFill>
    </x:fill>
    <x:fill>
      <x:patternFill patternType="solid">
        <x:fgColor rgb="FF1F3864"/>
      </x:patternFill>
    </x:fill>
  </x:fills>
  <x:borders count="2">
    <x:border>
      <x:left/>
      <x:right/>
      <x:top/>
      <x:bottom/>
      <x:diagonal/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/>
    <x:xf numFmtId="0" fontId="2" fillId="0" borderId="0" xfId="0" applyAlignment="1">
      <x:alignment vertical="top" wrapText="1"/>
    </x:xf>
    <x:xf numFmtId="0" fontId="3" fillId="0" borderId="0" xfId="0"/>
    <x:xf numFmtId="0" fontId="4" fillId="2" borderId="0" xfId="0"/>
    <x:xf numFmtId="0" fontId="2" fillId="3" borderId="0" xfId="0"/>
    <x:xf numFmtId="0" fontId="5" fillId="4" borderId="1" xfId="0" applyAlignment="1">
      <x:alignment horizontal="center" vertical="top" wrapText="1"/>
    </x:xf>
    <x:xf numFmtId="0" fontId="4" fillId="2" borderId="1" xfId="0" applyAlignment="1">
      <x:alignment vertical="top" wrapText="1"/>
    </x:xf>
    <x:xf numFmtId="9" fontId="2" fillId="3" borderId="1" xfId="0" applyAlignment="1">
      <x:alignment vertical="top" wrapText="1"/>
    </x:xf>
    <x:xf numFmtId="0" fontId="2" fillId="3" borderId="1" xfId="0" applyAlignment="1">
      <x:alignment vertical="top" wrapText="1"/>
    </x:xf>
    <x:xf numFmtId="164" fontId="4" fillId="2" borderId="1" xfId="0" applyAlignment="1">
      <x:alignment vertical="top" wrapText="1"/>
    </x:xf>
    <x:xf numFmtId="0" fontId="4" fillId="2" borderId="1" xfId="0"/>
    <x:xf numFmtId="0" fontId="6" fillId="0" borderId="0" xfId="0"/>
    <x:xf numFmtId="0" fontId="2" fillId="0" borderId="1" xfId="0" applyAlignment="1">
      <x:alignment vertical="top" wrapText="1"/>
    </x:xf>
    <x:xf numFmtId="0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975dda4764ac7" /><Relationship Type="http://schemas.openxmlformats.org/officeDocument/2006/relationships/theme" Target="/xl/theme/theme1.xml" Id="R3292156d48ef4761" /><Relationship Type="http://schemas.openxmlformats.org/officeDocument/2006/relationships/sharedStrings" Target="/xl/sharedStrings.xml" Id="R3da95536567b4a47" /><Relationship Type="http://schemas.openxmlformats.org/officeDocument/2006/relationships/worksheet" Target="/xl/worksheets/sheet1.xml" Id="R0b642db18c5e4f1b" /><Relationship Type="http://schemas.openxmlformats.org/officeDocument/2006/relationships/worksheet" Target="/xl/worksheets/sheet2.xml" Id="R7e3bbc7558944d6e" /><Relationship Type="http://schemas.openxmlformats.org/officeDocument/2006/relationships/worksheet" Target="/xl/worksheets/sheet3.xml" Id="R7d77cca940f94ded" /><Relationship Type="http://schemas.openxmlformats.org/officeDocument/2006/relationships/worksheet" Target="/xl/worksheets/sheet4.xml" Id="Ra6671366fa5a4638" /><Relationship Type="http://schemas.openxmlformats.org/officeDocument/2006/relationships/worksheet" Target="/xl/worksheets/sheet5.xml" Id="R1c67e60fdd6344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0" customWidth="1"/>
  </x:cols>
  <x:sheetData>
    <x:row r="1">
      <x:c r="A1" s="1" t="inlineStr">
        <x:is>
          <x:t xml:space="preserve">DonorLink usability study - Issue log (Workbook C)</x:t>
        </x:is>
      </x:c>
    </x:row>
    <x:row r="3">
      <x:c r="A3" s="2" t="str">
        <x:v>Contains proxy-study demonstration findings. SYNTHETIC PROXY EVALUATION ONLY — not a human participant session; validate with real Android users.</x:v>
      </x:c>
    </x:row>
    <x:row r="4">
      <x:c r="A4" s="2" t="inlineStr">
        <x:is>
          <x:t xml:space="preserve"/>
        </x:is>
      </x:c>
    </x:row>
    <x:row r="5">
      <x:c r="A5" s="2" t="inlineStr">
        <x:is>
          <x:t xml:space="preserve">Observed problems get IDs WA-01, WA-02, ... (the PDF's Appendix C.5 scheme). Fill participants affected, severity, evidence, recommendation.</x:t>
        </x:is>
      </x:c>
    </x:row>
    <x:row r="6">
      <x:c r="A6" s="2" t="inlineStr">
        <x:is>
          <x:t xml:space="preserve">Severity uses Nielsen's 0-4 scale (PDF §9.3); the 'Severity Scale' sheet maps it to Low / Medium / High and explains how to assign it.</x:t>
        </x:is>
      </x:c>
    </x:row>
    <x:row r="7">
      <x:c r="A7" s="2" t="inlineStr">
        <x:is>
          <x:t xml:space="preserve">Set 'Participants tested (N)' on the Severity Scale sheet (cell B2) so frequency is calculated.</x:t>
        </x:is>
      </x:c>
    </x:row>
    <x:row r="8">
      <x:c r="A8" s="2" t="inlineStr">
        <x:is>
          <x:t xml:space="preserve">Link each issue to a prototype issue UI-01..UI-05 where relevant (research question RQ2).</x:t>
        </x:is>
      </x:c>
    </x:row>
    <x:row r="10">
      <x:c r="A10" s="3" t="inlineStr">
        <x:is>
          <x:t xml:space="preserve">Colour key</x:t>
        </x:is>
      </x:c>
    </x:row>
    <x:row r="11">
      <x:c r="A11" s="4" t="inlineStr">
        <x:is>
          <x:t xml:space="preserve">Pale yellow, blue text = you type here</x:t>
        </x:is>
      </x:c>
    </x:row>
    <x:row r="12">
      <x:c r="A12" s="5" t="inlineStr">
        <x:is>
          <x:t xml:space="preserve">Grey-blue, black text = formula, do not type here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0" customWidth="1"/>
    <x:col min="2" max="2" width="9" customWidth="1"/>
    <x:col min="3" max="3" width="26" customWidth="1"/>
    <x:col min="4" max="4" width="52" customWidth="1"/>
    <x:col min="5" max="5" width="36" customWidth="1"/>
    <x:col min="6" max="6" width="11" customWidth="1"/>
    <x:col min="7" max="7" width="11" customWidth="1"/>
    <x:col min="8" max="8" width="10" customWidth="1"/>
    <x:col min="9" max="9" width="22" customWidth="1"/>
    <x:col min="10" max="10" width="20" customWidth="1"/>
    <x:col min="11" max="11" width="14" customWidth="1"/>
    <x:col min="12" max="12" width="44" customWidth="1"/>
    <x:col min="13" max="13" width="18" customWidth="1"/>
    <x:col min="14" max="14" width="12" customWidth="1"/>
    <x:col min="15" max="15" width="12" customWidth="1"/>
    <x:col min="16" max="16" width="30" customWidth="1"/>
  </x:cols>
  <x:sheetData>
    <x:row r="1" ht="58" customHeight="1">
      <x:c r="A1" s="6" t="inlineStr">
        <x:is>
          <x:t xml:space="preserve">Issue ID</x:t>
        </x:is>
      </x:c>
      <x:c r="B1" s="6" t="inlineStr">
        <x:is>
          <x:t xml:space="preserve">Related task</x:t>
        </x:is>
      </x:c>
      <x:c r="C1" s="6" t="inlineStr">
        <x:is>
          <x:t xml:space="preserve">Source</x:t>
        </x:is>
      </x:c>
      <x:c r="D1" s="6" t="inlineStr">
        <x:is>
          <x:t xml:space="preserve">Issue description</x:t>
        </x:is>
      </x:c>
      <x:c r="E1" s="6" t="inlineStr">
        <x:is>
          <x:t xml:space="preserve">Evidence (screenshot / video ref / file:line)</x:t>
        </x:is>
      </x:c>
      <x:c r="F1" s="6" t="inlineStr">
        <x:is>
          <x:t xml:space="preserve">Participants affected (n)</x:t>
        </x:is>
      </x:c>
      <x:c r="G1" s="6" t="inlineStr">
        <x:is>
          <x:t xml:space="preserve">Frequency (auto = n / N)</x:t>
        </x:is>
      </x:c>
      <x:c r="H1" s="6" t="inlineStr">
        <x:is>
          <x:t xml:space="preserve">Severity 0-4 (Nielsen)</x:t>
        </x:is>
      </x:c>
      <x:c r="I1" s="6" t="inlineStr">
        <x:is>
          <x:t xml:space="preserve">Severity label (auto)</x:t>
        </x:is>
      </x:c>
      <x:c r="J1" s="6" t="inlineStr">
        <x:is>
          <x:t xml:space="preserve">Impact on task completion</x:t>
        </x:is>
      </x:c>
      <x:c r="K1" s="6" t="inlineStr">
        <x:is>
          <x:t xml:space="preserve">Reproducibility</x:t>
        </x:is>
      </x:c>
      <x:c r="L1" s="6" t="inlineStr">
        <x:is>
          <x:t xml:space="preserve">Recommended improvement</x:t>
        </x:is>
      </x:c>
      <x:c r="M1" s="6" t="inlineStr">
        <x:is>
          <x:t xml:space="preserve">Status</x:t>
        </x:is>
      </x:c>
      <x:c r="N1" s="6" t="inlineStr">
        <x:is>
          <x:t xml:space="preserve">Related prototype issue</x:t>
        </x:is>
      </x:c>
      <x:c r="O1" s="6" t="inlineStr">
        <x:is>
          <x:t xml:space="preserve">Date logged</x:t>
        </x:is>
      </x:c>
      <x:c r="P1" s="6" t="inlineStr">
        <x:is>
          <x:t xml:space="preserve">Notes</x:t>
        </x:is>
      </x:c>
    </x:row>
    <x:row r="2">
      <x:c r="A2" s="7" t="inlineStr">
        <x:is>
          <x:t xml:space="preserve">CAND-01</x:t>
        </x:is>
      </x:c>
      <x:c r="B2" s="7" t="inlineStr">
        <x:is>
          <x:t xml:space="preserve">T4</x:t>
        </x:is>
      </x:c>
      <x:c r="C2" s="7" t="inlineStr">
        <x:is>
          <x:t xml:space="preserve">Code inspection (not yet observed)</x:t>
        </x:is>
      </x:c>
      <x:c r="D2" s="7" t="inlineStr">
        <x:is>
          <x:t xml:space="preserve">An exact 'available until 6 pm' time cannot be entered in the Expo web preview: the 'Pick date &amp; time' chip is hidden when Platform.OS is 'web', leaving only relative chips (2 hours, 8 hours, 24 hours, 3 days). On Android the picker is two consecutive system dialogs (date, then time). Possible hesitation or errors for T4, which asks for a clock time.</x:t>
        </x:is>
      </x:c>
      <x:c r="E2" s="7" t="inlineStr">
        <x:is>
          <x:t xml:space="preserve">src/components/ui/DonorLinkPickers.tsx:436-477</x:t>
        </x:is>
      </x:c>
      <x:c r="F2" s="7" t="n"/>
      <x:c r="G2" s="8" t="str">
        <x:f>IF(OR(F2="",N('Severity Scale'!$B$2)=0),"",F2/'Severity Scale'!$B$2)</x:f>
      </x:c>
      <x:c r="H2" s="7" t="n"/>
      <x:c r="I2" s="9" t="str">
        <x:f>IF(H2="","",IFERROR(INDEX('Severity Scale'!$B$5:$B$9,H2+1)&amp;" ("&amp;INDEX('Severity Scale'!$C$5:$C$9,H2+1)&amp;")",""))</x:f>
      </x:c>
      <x:c r="J2" s="7" t="n"/>
      <x:c r="K2" s="7" t="n"/>
      <x:c r="L2" s="7" t="inlineStr">
        <x:is>
          <x:t xml:space="preserve">Observe T4 on Android. If participants struggle, add a clock-time quick option such as 'Until 6 pm today' or a single time-only picker.</x:t>
        </x:is>
      </x:c>
      <x:c r="M2" s="7" t="inlineStr">
        <x:is>
          <x:t xml:space="preserve">Needs verification</x:t>
        </x:is>
      </x:c>
      <x:c r="N2" s="7" t="inlineStr">
        <x:is>
          <x:t xml:space="preserve">UI-01</x:t>
        </x:is>
      </x:c>
      <x:c r="O2" s="10" t="n"/>
      <x:c r="P2" s="7" t="inlineStr">
        <x:is>
          <x:t xml:space="preserve">Web sessions cannot test T4 as worded; use Android.</x:t>
        </x:is>
      </x:c>
    </x:row>
    <x:row r="3">
      <x:c r="A3" s="7" t="inlineStr">
        <x:is>
          <x:t xml:space="preserve">CAND-02</x:t>
        </x:is>
      </x:c>
      <x:c r="B3" s="7" t="inlineStr">
        <x:is>
          <x:t xml:space="preserve">T4</x:t>
        </x:is>
      </x:c>
      <x:c r="C3" s="7" t="inlineStr">
        <x:is>
          <x:t xml:space="preserve">Code inspection (not yet observed)</x:t>
        </x:is>
      </x:c>
      <x:c r="D3" s="7" t="inlineStr">
        <x:is>
          <x:t xml:space="preserve">Availability saving rejects an end time that is not in the future ('Available-until time must be in the future.'). A session run after 6 pm local time makes T4 impossible as worded, so the facilitator must adjust the scenario time.</x:t>
        </x:is>
      </x:c>
      <x:c r="E3" s="7" t="inlineStr">
        <x:is>
          <x:t xml:space="preserve">src/domain/validation.ts:266-269</x:t>
        </x:is>
      </x:c>
      <x:c r="F3" s="7" t="n"/>
      <x:c r="G3" s="8" t="str">
        <x:f>IF(OR(F3="",N('Severity Scale'!$B$2)=0),"",F3/'Severity Scale'!$B$2)</x:f>
      </x:c>
      <x:c r="H3" s="7" t="n"/>
      <x:c r="I3" s="9" t="str">
        <x:f>IF(H3="","",IFERROR(INDEX('Severity Scale'!$B$5:$B$9,H3+1)&amp;" ("&amp;INDEX('Severity Scale'!$C$5:$C$9,H3+1)&amp;")",""))</x:f>
      </x:c>
      <x:c r="J3" s="7" t="n"/>
      <x:c r="K3" s="7" t="n"/>
      <x:c r="L3" s="7" t="inlineStr">
        <x:is>
          <x:t xml:space="preserve">Schedule sessions before 18:00, or reword the card with a time later than the current time and record the wording used.</x:t>
        </x:is>
      </x:c>
      <x:c r="M3" s="7" t="inlineStr">
        <x:is>
          <x:t xml:space="preserve">Needs verification</x:t>
        </x:is>
      </x:c>
      <x:c r="N3" s="7" t="inlineStr">
        <x:is>
          <x:t xml:space="preserve">None</x:t>
        </x:is>
      </x:c>
      <x:c r="O3" s="10" t="n"/>
      <x:c r="P3" s="7" t="inlineStr">
        <x:is>
          <x:t xml:space="preserve">Protocol step added (participant-protocol.md).</x:t>
        </x:is>
      </x:c>
    </x:row>
    <x:row r="4">
      <x:c r="A4" s="7" t="inlineStr">
        <x:is>
          <x:t xml:space="preserve">CAND-03</x:t>
        </x:is>
      </x:c>
      <x:c r="B4" s="7" t="inlineStr">
        <x:is>
          <x:t xml:space="preserve">T3</x:t>
        </x:is>
      </x:c>
      <x:c r="C4" s="7" t="inlineStr">
        <x:is>
          <x:t xml:space="preserve">Code inspection (not yet observed)</x:t>
        </x:is>
      </x:c>
      <x:c r="D4" s="7" t="inlineStr">
        <x:is>
          <x:t xml:space="preserve">The task asks 'how many donors have responded', but the app shows 'N of M donors accepted' plus Contacted / Accepted / Waiting / Declined counters. There is no single 'responded' number, so participants may give different but defensible answers.</x:t>
        </x:is>
      </x:c>
      <x:c r="E4" s="7" t="inlineStr">
        <x:is>
          <x:t xml:space="preserve">src/features/requester/RequestDetailsScreen.tsx:161; src/components/requests/ResponseSummary.tsx:41-48</x:t>
        </x:is>
      </x:c>
      <x:c r="F4" s="7" t="n"/>
      <x:c r="G4" s="8" t="str">
        <x:f>IF(OR(F4="",N('Severity Scale'!$B$2)=0),"",F4/'Severity Scale'!$B$2)</x:f>
      </x:c>
      <x:c r="H4" s="7" t="n"/>
      <x:c r="I4" s="9" t="str">
        <x:f>IF(H4="","",IFERROR(INDEX('Severity Scale'!$B$5:$B$9,H4+1)&amp;" ("&amp;INDEX('Severity Scale'!$C$5:$C$9,H4+1)&amp;")",""))</x:f>
      </x:c>
      <x:c r="J4" s="7" t="n"/>
      <x:c r="K4" s="7" t="n"/>
      <x:c r="L4" s="7" t="inlineStr">
        <x:is>
          <x:t xml:space="preserve">Agree the correct answer before sessions (see task-success-criteria.md) and record exactly what each participant says. Consider a 'Responded' counter if confusion is observed.</x:t>
        </x:is>
      </x:c>
      <x:c r="M4" s="7" t="inlineStr">
        <x:is>
          <x:t xml:space="preserve">Needs verification</x:t>
        </x:is>
      </x:c>
      <x:c r="N4" s="7" t="inlineStr">
        <x:is>
          <x:t xml:space="preserve">UI-03</x:t>
        </x:is>
      </x:c>
      <x:c r="O4" s="10" t="n"/>
      <x:c r="P4" s="7" t="n"/>
    </x:row>
    <x:row r="5">
      <x:c r="A5" s="7" t="inlineStr">
        <x:is>
          <x:t xml:space="preserve">CAND-04</x:t>
        </x:is>
      </x:c>
      <x:c r="B5" s="7" t="inlineStr">
        <x:is>
          <x:t xml:space="preserve">T2/T3</x:t>
        </x:is>
      </x:c>
      <x:c r="C5" s="7" t="inlineStr">
        <x:is>
          <x:t xml:space="preserve">Code inspection (not yet observed)</x:t>
        </x:is>
      </x:c>
      <x:c r="D5" s="7" t="inlineStr">
        <x:is>
          <x:t xml:space="preserve">Pending-verification wording differs between screens: status badge 'Awaiting verification', reviewer card 'This request is waiting for verification', verification badge 'Not yet verified'. The report's success criterion says 'waiting for verification'.</x:t>
        </x:is>
      </x:c>
      <x:c r="E5" s="7" t="inlineStr">
        <x:is>
          <x:t xml:space="preserve">src/domain/statuses.ts:28; src/features/requester/RequestDetailsScreen.tsx:121,144</x:t>
        </x:is>
      </x:c>
      <x:c r="F5" s="7" t="n"/>
      <x:c r="G5" s="8" t="str">
        <x:f>IF(OR(F5="",N('Severity Scale'!$B$2)=0),"",F5/'Severity Scale'!$B$2)</x:f>
      </x:c>
      <x:c r="H5" s="7" t="n"/>
      <x:c r="I5" s="9" t="str">
        <x:f>IF(H5="","",IFERROR(INDEX('Severity Scale'!$B$5:$B$9,H5+1)&amp;" ("&amp;INDEX('Severity Scale'!$C$5:$C$9,H5+1)&amp;")",""))</x:f>
      </x:c>
      <x:c r="J5" s="7" t="n"/>
      <x:c r="K5" s="7" t="n"/>
      <x:c r="L5" s="7" t="inlineStr">
        <x:is>
          <x:t xml:space="preserve">Observe whether participants read these as the same state; align wording if they do not.</x:t>
        </x:is>
      </x:c>
      <x:c r="M5" s="7" t="inlineStr">
        <x:is>
          <x:t xml:space="preserve">Needs verification</x:t>
        </x:is>
      </x:c>
      <x:c r="N5" s="7" t="inlineStr">
        <x:is>
          <x:t xml:space="preserve">UI-03</x:t>
        </x:is>
      </x:c>
      <x:c r="O5" s="10" t="n"/>
      <x:c r="P5" s="7" t="n"/>
    </x:row>
    <x:row r="6">
      <x:c r="A6" s="7" t="inlineStr">
        <x:is>
          <x:t xml:space="preserve">CAND-05</x:t>
        </x:is>
      </x:c>
      <x:c r="B6" s="7" t="inlineStr">
        <x:is>
          <x:t xml:space="preserve">T2</x:t>
        </x:is>
      </x:c>
      <x:c r="C6" s="7" t="inlineStr">
        <x:is>
          <x:t xml:space="preserve">Code inspection (not yet observed)</x:t>
        </x:is>
      </x:c>
      <x:c r="D6" s="7" t="inlineStr">
        <x:is>
          <x:t xml:space="preserve">'Who is this for' (the uncle in the scenario) is optional and hidden behind 'Add ward, notes or who it's for'; its options are Myself / Family member / Friend / Patient in my care / Other. No 'uncle' option.</x:t>
        </x:is>
      </x:c>
      <x:c r="E6" s="7" t="inlineStr">
        <x:is>
          <x:t xml:space="preserve">src/app/(app)/requests/create.tsx:28,148-173</x:t>
        </x:is>
      </x:c>
      <x:c r="F6" s="7" t="n"/>
      <x:c r="G6" s="8" t="str">
        <x:f>IF(OR(F6="",N('Severity Scale'!$B$2)=0),"",F6/'Severity Scale'!$B$2)</x:f>
      </x:c>
      <x:c r="H6" s="7" t="n"/>
      <x:c r="I6" s="9" t="str">
        <x:f>IF(H6="","",IFERROR(INDEX('Severity Scale'!$B$5:$B$9,H6+1)&amp;" ("&amp;INDEX('Severity Scale'!$C$5:$C$9,H6+1)&amp;")",""))</x:f>
      </x:c>
      <x:c r="J6" s="7" t="n"/>
      <x:c r="K6" s="7" t="n"/>
      <x:c r="L6" s="7" t="inlineStr">
        <x:is>
          <x:t xml:space="preserve">Observe whether participants look for it. Acceptable if the request succeeds without it.</x:t>
        </x:is>
      </x:c>
      <x:c r="M6" s="7" t="inlineStr">
        <x:is>
          <x:t xml:space="preserve">Needs verification</x:t>
        </x:is>
      </x:c>
      <x:c r="N6" s="7" t="inlineStr">
        <x:is>
          <x:t xml:space="preserve">None</x:t>
        </x:is>
      </x:c>
      <x:c r="O6" s="10" t="n"/>
      <x:c r="P6" s="7" t="n"/>
    </x:row>
    <x:row r="7">
      <x:c r="A7" s="7" t="inlineStr">
        <x:is>
          <x:t xml:space="preserve">CAND-06</x:t>
        </x:is>
      </x:c>
      <x:c r="B7" s="7" t="inlineStr">
        <x:is>
          <x:t xml:space="preserve">T6</x:t>
        </x:is>
      </x:c>
      <x:c r="C7" s="7" t="inlineStr">
        <x:is>
          <x:t xml:space="preserve">Code inspection (not yet observed)</x:t>
        </x:is>
      </x:c>
      <x:c r="D7" s="7" t="inlineStr">
        <x:is>
          <x:t xml:space="preserve">History is not one of the four tabs. It is reachable from Home &gt; Quick actions &gt; History and Profile &gt; 'Request &amp; donation history'. First-time users may hesitate (prototype issue UI-04).</x:t>
        </x:is>
      </x:c>
      <x:c r="E7" s="7" t="inlineStr">
        <x:is>
          <x:t xml:space="preserve">src/app/(app)/(tabs)/index.tsx:29-34; src/app/(app)/(tabs)/profile.tsx:82</x:t>
        </x:is>
      </x:c>
      <x:c r="F7" s="7" t="n"/>
      <x:c r="G7" s="8" t="str">
        <x:f>IF(OR(F7="",N('Severity Scale'!$B$2)=0),"",F7/'Severity Scale'!$B$2)</x:f>
      </x:c>
      <x:c r="H7" s="7" t="n"/>
      <x:c r="I7" s="9" t="str">
        <x:f>IF(H7="","",IFERROR(INDEX('Severity Scale'!$B$5:$B$9,H7+1)&amp;" ("&amp;INDEX('Severity Scale'!$C$5:$C$9,H7+1)&amp;")",""))</x:f>
      </x:c>
      <x:c r="J7" s="7" t="n"/>
      <x:c r="K7" s="7" t="n"/>
      <x:c r="L7" s="7" t="inlineStr">
        <x:is>
          <x:t xml:space="preserve">Observe the first tap on T6; record whether participants use Home, Profile, or the Requests tab.</x:t>
        </x:is>
      </x:c>
      <x:c r="M7" s="7" t="inlineStr">
        <x:is>
          <x:t xml:space="preserve">Needs verification</x:t>
        </x:is>
      </x:c>
      <x:c r="N7" s="7" t="inlineStr">
        <x:is>
          <x:t xml:space="preserve">UI-04</x:t>
        </x:is>
      </x:c>
      <x:c r="O7" s="10" t="n"/>
      <x:c r="P7" s="7" t="n"/>
    </x:row>
    <x:row r="8">
      <x:c r="A8" s="7" t="str">
        <x:v>WA-P01</x:v>
      </x:c>
      <x:c r="B8" s="7" t="str">
        <x:v>T3</x:v>
      </x:c>
      <x:c r="C8" s="7" t="str">
        <x:v>Proxy evaluation (synthetic; not participant)</x:v>
      </x:c>
      <x:c r="D8" s="7" t="str">
        <x:v>“Responded” does not map directly to the accepted, contacted, waiting and declined counters, causing inconsistent interpretations.</x:v>
      </x:c>
      <x:c r="E8" s="7" t="str">
        <x:v>Proxy task traces P01, P02, P03</x:v>
      </x:c>
      <x:c r="F8" s="7" t="n">
        <x:v>3</x:v>
      </x:c>
      <x:c r="G8" s="8" t="n">
        <x:f>IF(OR(F8="",N('Severity Scale'!$B$2)=0),"",F8/'Severity Scale'!$B$2)</x:f>
        <x:v>0.6</x:v>
      </x:c>
      <x:c r="H8" s="7" t="n">
        <x:v>3</x:v>
      </x:c>
      <x:c r="I8" s="9" t="str">
        <x:f>IF(H8="","",IFERROR(INDEX('Severity Scale'!$B$5:$B$9,H8+1)&amp;" ("&amp;INDEX('Severity Scale'!$C$5:$C$9,H8+1)&amp;")",""))</x:f>
        <x:v>Major problem (High)</x:v>
      </x:c>
      <x:c r="J8" s="7" t="str">
        <x:v>Required assistance or produced an ambiguous answer.</x:v>
      </x:c>
      <x:c r="K8" s="7" t="str">
        <x:v>Always in this proxy evaluation</x:v>
      </x:c>
      <x:c r="L8" s="7" t="str">
        <x:v>Label the task and request summary consistently, or add a clearly named response total.</x:v>
      </x:c>
      <x:c r="M8" s="7" t="str">
        <x:v>Proxy finding — validate with people</x:v>
      </x:c>
      <x:c r="N8" s="7" t="str">
        <x:v>UI-03</x:v>
      </x:c>
      <x:c r="O8" s="10" t="n"/>
      <x:c r="P8" s="7" t="n"/>
    </x:row>
    <x:row r="9">
      <x:c r="A9" s="7" t="str">
        <x:v>WA-P02</x:v>
      </x:c>
      <x:c r="B9" s="7" t="str">
        <x:v>T4</x:v>
      </x:c>
      <x:c r="C9" s="7" t="str">
        <x:v>Proxy evaluation (synthetic; not participant)</x:v>
      </x:c>
      <x:c r="D9" s="7" t="str">
        <x:v>Setting an exact “until 6 pm” availability time is less discoverable than the relative availability options.</x:v>
      </x:c>
      <x:c r="E9" s="7" t="str">
        <x:v>Proxy task traces P01–P05</x:v>
      </x:c>
      <x:c r="F9" s="7" t="n">
        <x:v>5</x:v>
      </x:c>
      <x:c r="G9" s="8" t="n">
        <x:f>IF(OR(F9="",N('Severity Scale'!$B$2)=0),"",F9/'Severity Scale'!$B$2)</x:f>
        <x:v>1</x:v>
      </x:c>
      <x:c r="H9" s="7" t="n">
        <x:v>3</x:v>
      </x:c>
      <x:c r="I9" s="9" t="str">
        <x:f>IF(H9="","",IFERROR(INDEX('Severity Scale'!$B$5:$B$9,H9+1)&amp;" ("&amp;INDEX('Severity Scale'!$C$5:$C$9,H9+1)&amp;")",""))</x:f>
        <x:v>Major problem (High)</x:v>
      </x:c>
      <x:c r="J9" s="7" t="str">
        <x:v>One abandonment and four assisted completions.</x:v>
      </x:c>
      <x:c r="K9" s="7" t="str">
        <x:v>Always in this proxy evaluation</x:v>
      </x:c>
      <x:c r="L9" s="7" t="str">
        <x:v>Add an “Until 6 pm today” shortcut and simplify the exact-time flow.</x:v>
      </x:c>
      <x:c r="M9" s="7" t="str">
        <x:v>Proxy finding — validate with people</x:v>
      </x:c>
      <x:c r="N9" s="7" t="str">
        <x:v>UI-01</x:v>
      </x:c>
      <x:c r="O9" s="10" t="n"/>
      <x:c r="P9" s="7" t="n"/>
    </x:row>
    <x:row r="10">
      <x:c r="A10" s="7" t="str">
        <x:v>WA-P03</x:v>
      </x:c>
      <x:c r="B10" s="7" t="str">
        <x:v>T2</x:v>
      </x:c>
      <x:c r="C10" s="7" t="str">
        <x:v>Proxy evaluation (synthetic; not participant)</x:v>
      </x:c>
      <x:c r="D10" s="7" t="str">
        <x:v>The relationship detail expected by the scenario is optional and hidden in an expandable section.</x:v>
      </x:c>
      <x:c r="E10" s="7" t="str">
        <x:v>Proxy task traces P01, P04</x:v>
      </x:c>
      <x:c r="F10" s="7" t="n">
        <x:v>2</x:v>
      </x:c>
      <x:c r="G10" s="8" t="n">
        <x:f>IF(OR(F10="",N('Severity Scale'!$B$2)=0),"",F10/'Severity Scale'!$B$2)</x:f>
        <x:v>0.4</x:v>
      </x:c>
      <x:c r="H10" s="7" t="n">
        <x:v>2</x:v>
      </x:c>
      <x:c r="I10" s="9" t="str">
        <x:f>IF(H10="","",IFERROR(INDEX('Severity Scale'!$B$5:$B$9,H10+1)&amp;" ("&amp;INDEX('Severity Scale'!$C$5:$C$9,H10+1)&amp;")",""))</x:f>
        <x:v>Minor problem (Medium)</x:v>
      </x:c>
      <x:c r="J10" s="7" t="str">
        <x:v>Caused hesitation and one assisted completion.</x:v>
      </x:c>
      <x:c r="K10" s="7" t="str">
        <x:v>Sometimes in this proxy evaluation</x:v>
      </x:c>
      <x:c r="L10" s="7" t="str">
        <x:v>Keep optional details grouped but make their availability clearer in the request flow.</x:v>
      </x:c>
      <x:c r="M10" s="7" t="str">
        <x:v>Proxy finding — validate with people</x:v>
      </x:c>
      <x:c r="N10" s="7" t="str">
        <x:v>None</x:v>
      </x:c>
      <x:c r="O10" s="10" t="n"/>
      <x:c r="P10" s="7" t="n"/>
    </x:row>
    <x:row r="11">
      <x:c r="A11" s="7" t="str">
        <x:v>WA-P04</x:v>
      </x:c>
      <x:c r="B11" s="7" t="str">
        <x:v>T6</x:v>
      </x:c>
      <x:c r="C11" s="7" t="str">
        <x:v>Proxy evaluation (synthetic; not participant)</x:v>
      </x:c>
      <x:c r="D11" s="7" t="str">
        <x:v>History is not available as a tab, leading first-time users to search the tab bar before finding a secondary path.</x:v>
      </x:c>
      <x:c r="E11" s="7" t="str">
        <x:v>Proxy task traces P01, P03, P04</x:v>
      </x:c>
      <x:c r="F11" s="7" t="n">
        <x:v>3</x:v>
      </x:c>
      <x:c r="G11" s="8" t="n">
        <x:f>IF(OR(F11="",N('Severity Scale'!$B$2)=0),"",F11/'Severity Scale'!$B$2)</x:f>
        <x:v>0.6</x:v>
      </x:c>
      <x:c r="H11" s="7" t="n">
        <x:v>3</x:v>
      </x:c>
      <x:c r="I11" s="9" t="str">
        <x:f>IF(H11="","",IFERROR(INDEX('Severity Scale'!$B$5:$B$9,H11+1)&amp;" ("&amp;INDEX('Severity Scale'!$C$5:$C$9,H11+1)&amp;")",""))</x:f>
        <x:v>Major problem (High)</x:v>
      </x:c>
      <x:c r="J11" s="7" t="str">
        <x:v>Three assisted completions.</x:v>
      </x:c>
      <x:c r="K11" s="7" t="str">
        <x:v>Always in this proxy evaluation</x:v>
      </x:c>
      <x:c r="L11" s="7" t="str">
        <x:v>Expose History more prominently or add it to a primary navigation surface.</x:v>
      </x:c>
      <x:c r="M11" s="7" t="str">
        <x:v>Proxy finding — validate with people</x:v>
      </x:c>
      <x:c r="N11" s="7" t="str">
        <x:v>UI-04</x:v>
      </x:c>
      <x:c r="O11" s="10" t="n"/>
      <x:c r="P11" s="7" t="n"/>
    </x:row>
    <x:row r="12">
      <x:c r="A12" s="7" t="n"/>
      <x:c r="B12" s="7" t="n"/>
      <x:c r="C12" s="7" t="n"/>
      <x:c r="D12" s="7" t="n"/>
      <x:c r="E12" s="7" t="n"/>
      <x:c r="F12" s="7" t="n"/>
      <x:c r="G12" s="8" t="str">
        <x:f>IF(OR(F12="",N('Severity Scale'!$B$2)=0),"",F12/'Severity Scale'!$B$2)</x:f>
      </x:c>
      <x:c r="H12" s="7" t="n"/>
      <x:c r="I12" s="9" t="str">
        <x:f>IF(H12="","",IFERROR(INDEX('Severity Scale'!$B$5:$B$9,H12+1)&amp;" ("&amp;INDEX('Severity Scale'!$C$5:$C$9,H12+1)&amp;")",""))</x:f>
      </x:c>
      <x:c r="J12" s="7" t="n"/>
      <x:c r="K12" s="7" t="n"/>
      <x:c r="L12" s="7" t="n"/>
      <x:c r="M12" s="7" t="n"/>
      <x:c r="N12" s="7" t="n"/>
      <x:c r="O12" s="10" t="n"/>
      <x:c r="P12" s="7" t="n"/>
    </x:row>
    <x:row r="13">
      <x:c r="A13" s="7" t="n"/>
      <x:c r="B13" s="7" t="n"/>
      <x:c r="C13" s="7" t="n"/>
      <x:c r="D13" s="7" t="n"/>
      <x:c r="E13" s="7" t="n"/>
      <x:c r="F13" s="7" t="n"/>
      <x:c r="G13" s="8" t="str">
        <x:f>IF(OR(F13="",N('Severity Scale'!$B$2)=0),"",F13/'Severity Scale'!$B$2)</x:f>
      </x:c>
      <x:c r="H13" s="7" t="n"/>
      <x:c r="I13" s="9" t="str">
        <x:f>IF(H13="","",IFERROR(INDEX('Severity Scale'!$B$5:$B$9,H13+1)&amp;" ("&amp;INDEX('Severity Scale'!$C$5:$C$9,H13+1)&amp;")",""))</x:f>
      </x:c>
      <x:c r="J13" s="7" t="n"/>
      <x:c r="K13" s="7" t="n"/>
      <x:c r="L13" s="7" t="n"/>
      <x:c r="M13" s="7" t="n"/>
      <x:c r="N13" s="7" t="n"/>
      <x:c r="O13" s="10" t="n"/>
      <x:c r="P13" s="7" t="n"/>
    </x:row>
    <x:row r="14">
      <x:c r="A14" s="7" t="n"/>
      <x:c r="B14" s="7" t="n"/>
      <x:c r="C14" s="7" t="n"/>
      <x:c r="D14" s="7" t="n"/>
      <x:c r="E14" s="7" t="n"/>
      <x:c r="F14" s="7" t="n"/>
      <x:c r="G14" s="8" t="str">
        <x:f>IF(OR(F14="",N('Severity Scale'!$B$2)=0),"",F14/'Severity Scale'!$B$2)</x:f>
      </x:c>
      <x:c r="H14" s="7" t="n"/>
      <x:c r="I14" s="9" t="str">
        <x:f>IF(H14="","",IFERROR(INDEX('Severity Scale'!$B$5:$B$9,H14+1)&amp;" ("&amp;INDEX('Severity Scale'!$C$5:$C$9,H14+1)&amp;")",""))</x:f>
      </x:c>
      <x:c r="J14" s="7" t="n"/>
      <x:c r="K14" s="7" t="n"/>
      <x:c r="L14" s="7" t="n"/>
      <x:c r="M14" s="7" t="n"/>
      <x:c r="N14" s="7" t="n"/>
      <x:c r="O14" s="10" t="n"/>
      <x:c r="P14" s="7" t="n"/>
    </x:row>
    <x:row r="15">
      <x:c r="A15" s="7" t="n"/>
      <x:c r="B15" s="7" t="n"/>
      <x:c r="C15" s="7" t="n"/>
      <x:c r="D15" s="7" t="n"/>
      <x:c r="E15" s="7" t="n"/>
      <x:c r="F15" s="7" t="n"/>
      <x:c r="G15" s="8" t="str">
        <x:f>IF(OR(F15="",N('Severity Scale'!$B$2)=0),"",F15/'Severity Scale'!$B$2)</x:f>
      </x:c>
      <x:c r="H15" s="7" t="n"/>
      <x:c r="I15" s="9" t="str">
        <x:f>IF(H15="","",IFERROR(INDEX('Severity Scale'!$B$5:$B$9,H15+1)&amp;" ("&amp;INDEX('Severity Scale'!$C$5:$C$9,H15+1)&amp;")",""))</x:f>
      </x:c>
      <x:c r="J15" s="7" t="n"/>
      <x:c r="K15" s="7" t="n"/>
      <x:c r="L15" s="7" t="n"/>
      <x:c r="M15" s="7" t="n"/>
      <x:c r="N15" s="7" t="n"/>
      <x:c r="O15" s="10" t="n"/>
      <x:c r="P15" s="7" t="n"/>
    </x:row>
    <x:row r="16">
      <x:c r="A16" s="7" t="n"/>
      <x:c r="B16" s="7" t="n"/>
      <x:c r="C16" s="7" t="n"/>
      <x:c r="D16" s="7" t="n"/>
      <x:c r="E16" s="7" t="n"/>
      <x:c r="F16" s="7" t="n"/>
      <x:c r="G16" s="8" t="str">
        <x:f>IF(OR(F16="",N('Severity Scale'!$B$2)=0),"",F16/'Severity Scale'!$B$2)</x:f>
      </x:c>
      <x:c r="H16" s="7" t="n"/>
      <x:c r="I16" s="9" t="str">
        <x:f>IF(H16="","",IFERROR(INDEX('Severity Scale'!$B$5:$B$9,H16+1)&amp;" ("&amp;INDEX('Severity Scale'!$C$5:$C$9,H16+1)&amp;")",""))</x:f>
      </x:c>
      <x:c r="J16" s="7" t="n"/>
      <x:c r="K16" s="7" t="n"/>
      <x:c r="L16" s="7" t="n"/>
      <x:c r="M16" s="7" t="n"/>
      <x:c r="N16" s="7" t="n"/>
      <x:c r="O16" s="10" t="n"/>
      <x:c r="P16" s="7" t="n"/>
    </x:row>
    <x:row r="17">
      <x:c r="A17" s="7" t="n"/>
      <x:c r="B17" s="7" t="n"/>
      <x:c r="C17" s="7" t="n"/>
      <x:c r="D17" s="7" t="n"/>
      <x:c r="E17" s="7" t="n"/>
      <x:c r="F17" s="7" t="n"/>
      <x:c r="G17" s="8" t="str">
        <x:f>IF(OR(F17="",N('Severity Scale'!$B$2)=0),"",F17/'Severity Scale'!$B$2)</x:f>
      </x:c>
      <x:c r="H17" s="7" t="n"/>
      <x:c r="I17" s="9" t="str">
        <x:f>IF(H17="","",IFERROR(INDEX('Severity Scale'!$B$5:$B$9,H17+1)&amp;" ("&amp;INDEX('Severity Scale'!$C$5:$C$9,H17+1)&amp;")",""))</x:f>
      </x:c>
      <x:c r="J17" s="7" t="n"/>
      <x:c r="K17" s="7" t="n"/>
      <x:c r="L17" s="7" t="n"/>
      <x:c r="M17" s="7" t="n"/>
      <x:c r="N17" s="7" t="n"/>
      <x:c r="O17" s="10" t="n"/>
      <x:c r="P17" s="7" t="n"/>
    </x:row>
    <x:row r="18">
      <x:c r="A18" s="7" t="n"/>
      <x:c r="B18" s="7" t="n"/>
      <x:c r="C18" s="7" t="n"/>
      <x:c r="D18" s="7" t="n"/>
      <x:c r="E18" s="7" t="n"/>
      <x:c r="F18" s="7" t="n"/>
      <x:c r="G18" s="8" t="str">
        <x:f>IF(OR(F18="",N('Severity Scale'!$B$2)=0),"",F18/'Severity Scale'!$B$2)</x:f>
      </x:c>
      <x:c r="H18" s="7" t="n"/>
      <x:c r="I18" s="9" t="str">
        <x:f>IF(H18="","",IFERROR(INDEX('Severity Scale'!$B$5:$B$9,H18+1)&amp;" ("&amp;INDEX('Severity Scale'!$C$5:$C$9,H18+1)&amp;")",""))</x:f>
      </x:c>
      <x:c r="J18" s="7" t="n"/>
      <x:c r="K18" s="7" t="n"/>
      <x:c r="L18" s="7" t="n"/>
      <x:c r="M18" s="7" t="n"/>
      <x:c r="N18" s="7" t="n"/>
      <x:c r="O18" s="10" t="n"/>
      <x:c r="P18" s="7" t="n"/>
    </x:row>
    <x:row r="19">
      <x:c r="A19" s="7" t="n"/>
      <x:c r="B19" s="7" t="n"/>
      <x:c r="C19" s="7" t="n"/>
      <x:c r="D19" s="7" t="n"/>
      <x:c r="E19" s="7" t="n"/>
      <x:c r="F19" s="7" t="n"/>
      <x:c r="G19" s="8" t="str">
        <x:f>IF(OR(F19="",N('Severity Scale'!$B$2)=0),"",F19/'Severity Scale'!$B$2)</x:f>
      </x:c>
      <x:c r="H19" s="7" t="n"/>
      <x:c r="I19" s="9" t="str">
        <x:f>IF(H19="","",IFERROR(INDEX('Severity Scale'!$B$5:$B$9,H19+1)&amp;" ("&amp;INDEX('Severity Scale'!$C$5:$C$9,H19+1)&amp;")",""))</x:f>
      </x:c>
      <x:c r="J19" s="7" t="n"/>
      <x:c r="K19" s="7" t="n"/>
      <x:c r="L19" s="7" t="n"/>
      <x:c r="M19" s="7" t="n"/>
      <x:c r="N19" s="7" t="n"/>
      <x:c r="O19" s="10" t="n"/>
      <x:c r="P19" s="7" t="n"/>
    </x:row>
    <x:row r="20">
      <x:c r="A20" s="7" t="n"/>
      <x:c r="B20" s="7" t="n"/>
      <x:c r="C20" s="7" t="n"/>
      <x:c r="D20" s="7" t="n"/>
      <x:c r="E20" s="7" t="n"/>
      <x:c r="F20" s="7" t="n"/>
      <x:c r="G20" s="8" t="str">
        <x:f>IF(OR(F20="",N('Severity Scale'!$B$2)=0),"",F20/'Severity Scale'!$B$2)</x:f>
      </x:c>
      <x:c r="H20" s="7" t="n"/>
      <x:c r="I20" s="9" t="str">
        <x:f>IF(H20="","",IFERROR(INDEX('Severity Scale'!$B$5:$B$9,H20+1)&amp;" ("&amp;INDEX('Severity Scale'!$C$5:$C$9,H20+1)&amp;")",""))</x:f>
      </x:c>
      <x:c r="J20" s="7" t="n"/>
      <x:c r="K20" s="7" t="n"/>
      <x:c r="L20" s="7" t="n"/>
      <x:c r="M20" s="7" t="n"/>
      <x:c r="N20" s="7" t="n"/>
      <x:c r="O20" s="10" t="n"/>
      <x:c r="P20" s="7" t="n"/>
    </x:row>
    <x:row r="21">
      <x:c r="A21" s="7" t="n"/>
      <x:c r="B21" s="7" t="n"/>
      <x:c r="C21" s="7" t="n"/>
      <x:c r="D21" s="7" t="n"/>
      <x:c r="E21" s="7" t="n"/>
      <x:c r="F21" s="7" t="n"/>
      <x:c r="G21" s="8" t="str">
        <x:f>IF(OR(F21="",N('Severity Scale'!$B$2)=0),"",F21/'Severity Scale'!$B$2)</x:f>
      </x:c>
      <x:c r="H21" s="7" t="n"/>
      <x:c r="I21" s="9" t="str">
        <x:f>IF(H21="","",IFERROR(INDEX('Severity Scale'!$B$5:$B$9,H21+1)&amp;" ("&amp;INDEX('Severity Scale'!$C$5:$C$9,H21+1)&amp;")",""))</x:f>
      </x:c>
      <x:c r="J21" s="7" t="n"/>
      <x:c r="K21" s="7" t="n"/>
      <x:c r="L21" s="7" t="n"/>
      <x:c r="M21" s="7" t="n"/>
      <x:c r="N21" s="7" t="n"/>
      <x:c r="O21" s="10" t="n"/>
      <x:c r="P21" s="7" t="n"/>
    </x:row>
    <x:row r="22">
      <x:c r="A22" s="7" t="n"/>
      <x:c r="B22" s="7" t="n"/>
      <x:c r="C22" s="7" t="n"/>
      <x:c r="D22" s="7" t="n"/>
      <x:c r="E22" s="7" t="n"/>
      <x:c r="F22" s="7" t="n"/>
      <x:c r="G22" s="8" t="str">
        <x:f>IF(OR(F22="",N('Severity Scale'!$B$2)=0),"",F22/'Severity Scale'!$B$2)</x:f>
      </x:c>
      <x:c r="H22" s="7" t="n"/>
      <x:c r="I22" s="9" t="str">
        <x:f>IF(H22="","",IFERROR(INDEX('Severity Scale'!$B$5:$B$9,H22+1)&amp;" ("&amp;INDEX('Severity Scale'!$C$5:$C$9,H22+1)&amp;")",""))</x:f>
      </x:c>
      <x:c r="J22" s="7" t="n"/>
      <x:c r="K22" s="7" t="n"/>
      <x:c r="L22" s="7" t="n"/>
      <x:c r="M22" s="7" t="n"/>
      <x:c r="N22" s="7" t="n"/>
      <x:c r="O22" s="10" t="n"/>
      <x:c r="P22" s="7" t="n"/>
    </x:row>
    <x:row r="23">
      <x:c r="A23" s="7" t="n"/>
      <x:c r="B23" s="7" t="n"/>
      <x:c r="C23" s="7" t="n"/>
      <x:c r="D23" s="7" t="n"/>
      <x:c r="E23" s="7" t="n"/>
      <x:c r="F23" s="7" t="n"/>
      <x:c r="G23" s="8" t="str">
        <x:f>IF(OR(F23="",N('Severity Scale'!$B$2)=0),"",F23/'Severity Scale'!$B$2)</x:f>
      </x:c>
      <x:c r="H23" s="7" t="n"/>
      <x:c r="I23" s="9" t="str">
        <x:f>IF(H23="","",IFERROR(INDEX('Severity Scale'!$B$5:$B$9,H23+1)&amp;" ("&amp;INDEX('Severity Scale'!$C$5:$C$9,H23+1)&amp;")",""))</x:f>
      </x:c>
      <x:c r="J23" s="7" t="n"/>
      <x:c r="K23" s="7" t="n"/>
      <x:c r="L23" s="7" t="n"/>
      <x:c r="M23" s="7" t="n"/>
      <x:c r="N23" s="7" t="n"/>
      <x:c r="O23" s="10" t="n"/>
      <x:c r="P23" s="7" t="n"/>
    </x:row>
    <x:row r="24">
      <x:c r="A24" s="7" t="n"/>
      <x:c r="B24" s="7" t="n"/>
      <x:c r="C24" s="7" t="n"/>
      <x:c r="D24" s="7" t="n"/>
      <x:c r="E24" s="7" t="n"/>
      <x:c r="F24" s="7" t="n"/>
      <x:c r="G24" s="8" t="str">
        <x:f>IF(OR(F24="",N('Severity Scale'!$B$2)=0),"",F24/'Severity Scale'!$B$2)</x:f>
      </x:c>
      <x:c r="H24" s="7" t="n"/>
      <x:c r="I24" s="9" t="str">
        <x:f>IF(H24="","",IFERROR(INDEX('Severity Scale'!$B$5:$B$9,H24+1)&amp;" ("&amp;INDEX('Severity Scale'!$C$5:$C$9,H24+1)&amp;")",""))</x:f>
      </x:c>
      <x:c r="J24" s="7" t="n"/>
      <x:c r="K24" s="7" t="n"/>
      <x:c r="L24" s="7" t="n"/>
      <x:c r="M24" s="7" t="n"/>
      <x:c r="N24" s="7" t="n"/>
      <x:c r="O24" s="10" t="n"/>
      <x:c r="P24" s="7" t="n"/>
    </x:row>
    <x:row r="25">
      <x:c r="A25" s="7" t="n"/>
      <x:c r="B25" s="7" t="n"/>
      <x:c r="C25" s="7" t="n"/>
      <x:c r="D25" s="7" t="n"/>
      <x:c r="E25" s="7" t="n"/>
      <x:c r="F25" s="7" t="n"/>
      <x:c r="G25" s="8" t="str">
        <x:f>IF(OR(F25="",N('Severity Scale'!$B$2)=0),"",F25/'Severity Scale'!$B$2)</x:f>
      </x:c>
      <x:c r="H25" s="7" t="n"/>
      <x:c r="I25" s="9" t="str">
        <x:f>IF(H25="","",IFERROR(INDEX('Severity Scale'!$B$5:$B$9,H25+1)&amp;" ("&amp;INDEX('Severity Scale'!$C$5:$C$9,H25+1)&amp;")",""))</x:f>
      </x:c>
      <x:c r="J25" s="7" t="n"/>
      <x:c r="K25" s="7" t="n"/>
      <x:c r="L25" s="7" t="n"/>
      <x:c r="M25" s="7" t="n"/>
      <x:c r="N25" s="7" t="n"/>
      <x:c r="O25" s="10" t="n"/>
      <x:c r="P25" s="7" t="n"/>
    </x:row>
    <x:row r="26">
      <x:c r="A26" s="7" t="n"/>
      <x:c r="B26" s="7" t="n"/>
      <x:c r="C26" s="7" t="n"/>
      <x:c r="D26" s="7" t="n"/>
      <x:c r="E26" s="7" t="n"/>
      <x:c r="F26" s="7" t="n"/>
      <x:c r="G26" s="8" t="str">
        <x:f>IF(OR(F26="",N('Severity Scale'!$B$2)=0),"",F26/'Severity Scale'!$B$2)</x:f>
      </x:c>
      <x:c r="H26" s="7" t="n"/>
      <x:c r="I26" s="9" t="str">
        <x:f>IF(H26="","",IFERROR(INDEX('Severity Scale'!$B$5:$B$9,H26+1)&amp;" ("&amp;INDEX('Severity Scale'!$C$5:$C$9,H26+1)&amp;")",""))</x:f>
      </x:c>
      <x:c r="J26" s="7" t="n"/>
      <x:c r="K26" s="7" t="n"/>
      <x:c r="L26" s="7" t="n"/>
      <x:c r="M26" s="7" t="n"/>
      <x:c r="N26" s="7" t="n"/>
      <x:c r="O26" s="10" t="n"/>
      <x:c r="P26" s="7" t="n"/>
    </x:row>
    <x:row r="27">
      <x:c r="A27" s="7" t="n"/>
      <x:c r="B27" s="7" t="n"/>
      <x:c r="C27" s="7" t="n"/>
      <x:c r="D27" s="7" t="n"/>
      <x:c r="E27" s="7" t="n"/>
      <x:c r="F27" s="7" t="n"/>
      <x:c r="G27" s="8" t="str">
        <x:f>IF(OR(F27="",N('Severity Scale'!$B$2)=0),"",F27/'Severity Scale'!$B$2)</x:f>
      </x:c>
      <x:c r="H27" s="7" t="n"/>
      <x:c r="I27" s="9" t="str">
        <x:f>IF(H27="","",IFERROR(INDEX('Severity Scale'!$B$5:$B$9,H27+1)&amp;" ("&amp;INDEX('Severity Scale'!$C$5:$C$9,H27+1)&amp;")",""))</x:f>
      </x:c>
      <x:c r="J27" s="7" t="n"/>
      <x:c r="K27" s="7" t="n"/>
      <x:c r="L27" s="7" t="n"/>
      <x:c r="M27" s="7" t="n"/>
      <x:c r="N27" s="7" t="n"/>
      <x:c r="O27" s="10" t="n"/>
      <x:c r="P27" s="7" t="n"/>
    </x:row>
    <x:row r="28">
      <x:c r="A28" s="7" t="n"/>
      <x:c r="B28" s="7" t="n"/>
      <x:c r="C28" s="7" t="n"/>
      <x:c r="D28" s="7" t="n"/>
      <x:c r="E28" s="7" t="n"/>
      <x:c r="F28" s="7" t="n"/>
      <x:c r="G28" s="8" t="str">
        <x:f>IF(OR(F28="",N('Severity Scale'!$B$2)=0),"",F28/'Severity Scale'!$B$2)</x:f>
      </x:c>
      <x:c r="H28" s="7" t="n"/>
      <x:c r="I28" s="9" t="str">
        <x:f>IF(H28="","",IFERROR(INDEX('Severity Scale'!$B$5:$B$9,H28+1)&amp;" ("&amp;INDEX('Severity Scale'!$C$5:$C$9,H28+1)&amp;")",""))</x:f>
      </x:c>
      <x:c r="J28" s="7" t="n"/>
      <x:c r="K28" s="7" t="n"/>
      <x:c r="L28" s="7" t="n"/>
      <x:c r="M28" s="7" t="n"/>
      <x:c r="N28" s="7" t="n"/>
      <x:c r="O28" s="10" t="n"/>
      <x:c r="P28" s="7" t="n"/>
    </x:row>
    <x:row r="29">
      <x:c r="A29" s="7" t="n"/>
      <x:c r="B29" s="7" t="n"/>
      <x:c r="C29" s="7" t="n"/>
      <x:c r="D29" s="7" t="n"/>
      <x:c r="E29" s="7" t="n"/>
      <x:c r="F29" s="7" t="n"/>
      <x:c r="G29" s="8" t="str">
        <x:f>IF(OR(F29="",N('Severity Scale'!$B$2)=0),"",F29/'Severity Scale'!$B$2)</x:f>
      </x:c>
      <x:c r="H29" s="7" t="n"/>
      <x:c r="I29" s="9" t="str">
        <x:f>IF(H29="","",IFERROR(INDEX('Severity Scale'!$B$5:$B$9,H29+1)&amp;" ("&amp;INDEX('Severity Scale'!$C$5:$C$9,H29+1)&amp;")",""))</x:f>
      </x:c>
      <x:c r="J29" s="7" t="n"/>
      <x:c r="K29" s="7" t="n"/>
      <x:c r="L29" s="7" t="n"/>
      <x:c r="M29" s="7" t="n"/>
      <x:c r="N29" s="7" t="n"/>
      <x:c r="O29" s="10" t="n"/>
      <x:c r="P29" s="7" t="n"/>
    </x:row>
    <x:row r="30">
      <x:c r="A30" s="7" t="n"/>
      <x:c r="B30" s="7" t="n"/>
      <x:c r="C30" s="7" t="n"/>
      <x:c r="D30" s="7" t="n"/>
      <x:c r="E30" s="7" t="n"/>
      <x:c r="F30" s="7" t="n"/>
      <x:c r="G30" s="8" t="str">
        <x:f>IF(OR(F30="",N('Severity Scale'!$B$2)=0),"",F30/'Severity Scale'!$B$2)</x:f>
      </x:c>
      <x:c r="H30" s="7" t="n"/>
      <x:c r="I30" s="9" t="str">
        <x:f>IF(H30="","",IFERROR(INDEX('Severity Scale'!$B$5:$B$9,H30+1)&amp;" ("&amp;INDEX('Severity Scale'!$C$5:$C$9,H30+1)&amp;")",""))</x:f>
      </x:c>
      <x:c r="J30" s="7" t="n"/>
      <x:c r="K30" s="7" t="n"/>
      <x:c r="L30" s="7" t="n"/>
      <x:c r="M30" s="7" t="n"/>
      <x:c r="N30" s="7" t="n"/>
      <x:c r="O30" s="10" t="n"/>
      <x:c r="P30" s="7" t="n"/>
    </x:row>
    <x:row r="31">
      <x:c r="A31" s="7" t="n"/>
      <x:c r="B31" s="7" t="n"/>
      <x:c r="C31" s="7" t="n"/>
      <x:c r="D31" s="7" t="n"/>
      <x:c r="E31" s="7" t="n"/>
      <x:c r="F31" s="7" t="n"/>
      <x:c r="G31" s="8" t="str">
        <x:f>IF(OR(F31="",N('Severity Scale'!$B$2)=0),"",F31/'Severity Scale'!$B$2)</x:f>
      </x:c>
      <x:c r="H31" s="7" t="n"/>
      <x:c r="I31" s="9" t="str">
        <x:f>IF(H31="","",IFERROR(INDEX('Severity Scale'!$B$5:$B$9,H31+1)&amp;" ("&amp;INDEX('Severity Scale'!$C$5:$C$9,H31+1)&amp;")",""))</x:f>
      </x:c>
      <x:c r="J31" s="7" t="n"/>
      <x:c r="K31" s="7" t="n"/>
      <x:c r="L31" s="7" t="n"/>
      <x:c r="M31" s="7" t="n"/>
      <x:c r="N31" s="7" t="n"/>
      <x:c r="O31" s="10" t="n"/>
      <x:c r="P31" s="7" t="n"/>
    </x:row>
    <x:row r="32">
      <x:c r="A32" s="7" t="n"/>
      <x:c r="B32" s="7" t="n"/>
      <x:c r="C32" s="7" t="n"/>
      <x:c r="D32" s="7" t="n"/>
      <x:c r="E32" s="7" t="n"/>
      <x:c r="F32" s="7" t="n"/>
      <x:c r="G32" s="8" t="str">
        <x:f>IF(OR(F32="",N('Severity Scale'!$B$2)=0),"",F32/'Severity Scale'!$B$2)</x:f>
      </x:c>
      <x:c r="H32" s="7" t="n"/>
      <x:c r="I32" s="9" t="str">
        <x:f>IF(H32="","",IFERROR(INDEX('Severity Scale'!$B$5:$B$9,H32+1)&amp;" ("&amp;INDEX('Severity Scale'!$C$5:$C$9,H32+1)&amp;")",""))</x:f>
      </x:c>
      <x:c r="J32" s="7" t="n"/>
      <x:c r="K32" s="7" t="n"/>
      <x:c r="L32" s="7" t="n"/>
      <x:c r="M32" s="7" t="n"/>
      <x:c r="N32" s="7" t="n"/>
      <x:c r="O32" s="10" t="n"/>
      <x:c r="P32" s="7" t="n"/>
    </x:row>
    <x:row r="33">
      <x:c r="A33" s="7" t="n"/>
      <x:c r="B33" s="7" t="n"/>
      <x:c r="C33" s="7" t="n"/>
      <x:c r="D33" s="7" t="n"/>
      <x:c r="E33" s="7" t="n"/>
      <x:c r="F33" s="7" t="n"/>
      <x:c r="G33" s="8" t="str">
        <x:f>IF(OR(F33="",N('Severity Scale'!$B$2)=0),"",F33/'Severity Scale'!$B$2)</x:f>
      </x:c>
      <x:c r="H33" s="7" t="n"/>
      <x:c r="I33" s="9" t="str">
        <x:f>IF(H33="","",IFERROR(INDEX('Severity Scale'!$B$5:$B$9,H33+1)&amp;" ("&amp;INDEX('Severity Scale'!$C$5:$C$9,H33+1)&amp;")",""))</x:f>
      </x:c>
      <x:c r="J33" s="7" t="n"/>
      <x:c r="K33" s="7" t="n"/>
      <x:c r="L33" s="7" t="n"/>
      <x:c r="M33" s="7" t="n"/>
      <x:c r="N33" s="7" t="n"/>
      <x:c r="O33" s="10" t="n"/>
      <x:c r="P33" s="7" t="n"/>
    </x:row>
    <x:row r="34">
      <x:c r="A34" s="7" t="n"/>
      <x:c r="B34" s="7" t="n"/>
      <x:c r="C34" s="7" t="n"/>
      <x:c r="D34" s="7" t="n"/>
      <x:c r="E34" s="7" t="n"/>
      <x:c r="F34" s="7" t="n"/>
      <x:c r="G34" s="8" t="str">
        <x:f>IF(OR(F34="",N('Severity Scale'!$B$2)=0),"",F34/'Severity Scale'!$B$2)</x:f>
      </x:c>
      <x:c r="H34" s="7" t="n"/>
      <x:c r="I34" s="9" t="str">
        <x:f>IF(H34="","",IFERROR(INDEX('Severity Scale'!$B$5:$B$9,H34+1)&amp;" ("&amp;INDEX('Severity Scale'!$C$5:$C$9,H34+1)&amp;")",""))</x:f>
      </x:c>
      <x:c r="J34" s="7" t="n"/>
      <x:c r="K34" s="7" t="n"/>
      <x:c r="L34" s="7" t="n"/>
      <x:c r="M34" s="7" t="n"/>
      <x:c r="N34" s="7" t="n"/>
      <x:c r="O34" s="10" t="n"/>
      <x:c r="P34" s="7" t="n"/>
    </x:row>
    <x:row r="35">
      <x:c r="A35" s="7" t="n"/>
      <x:c r="B35" s="7" t="n"/>
      <x:c r="C35" s="7" t="n"/>
      <x:c r="D35" s="7" t="n"/>
      <x:c r="E35" s="7" t="n"/>
      <x:c r="F35" s="7" t="n"/>
      <x:c r="G35" s="8" t="str">
        <x:f>IF(OR(F35="",N('Severity Scale'!$B$2)=0),"",F35/'Severity Scale'!$B$2)</x:f>
      </x:c>
      <x:c r="H35" s="7" t="n"/>
      <x:c r="I35" s="9" t="str">
        <x:f>IF(H35="","",IFERROR(INDEX('Severity Scale'!$B$5:$B$9,H35+1)&amp;" ("&amp;INDEX('Severity Scale'!$C$5:$C$9,H35+1)&amp;")",""))</x:f>
      </x:c>
      <x:c r="J35" s="7" t="n"/>
      <x:c r="K35" s="7" t="n"/>
      <x:c r="L35" s="7" t="n"/>
      <x:c r="M35" s="7" t="n"/>
      <x:c r="N35" s="7" t="n"/>
      <x:c r="O35" s="10" t="n"/>
      <x:c r="P35" s="7" t="n"/>
    </x:row>
    <x:row r="36">
      <x:c r="A36" s="7" t="n"/>
      <x:c r="B36" s="7" t="n"/>
      <x:c r="C36" s="7" t="n"/>
      <x:c r="D36" s="7" t="n"/>
      <x:c r="E36" s="7" t="n"/>
      <x:c r="F36" s="7" t="n"/>
      <x:c r="G36" s="8" t="str">
        <x:f>IF(OR(F36="",N('Severity Scale'!$B$2)=0),"",F36/'Severity Scale'!$B$2)</x:f>
      </x:c>
      <x:c r="H36" s="7" t="n"/>
      <x:c r="I36" s="9" t="str">
        <x:f>IF(H36="","",IFERROR(INDEX('Severity Scale'!$B$5:$B$9,H36+1)&amp;" ("&amp;INDEX('Severity Scale'!$C$5:$C$9,H36+1)&amp;")",""))</x:f>
      </x:c>
      <x:c r="J36" s="7" t="n"/>
      <x:c r="K36" s="7" t="n"/>
      <x:c r="L36" s="7" t="n"/>
      <x:c r="M36" s="7" t="n"/>
      <x:c r="N36" s="7" t="n"/>
      <x:c r="O36" s="10" t="n"/>
      <x:c r="P36" s="7" t="n"/>
    </x:row>
    <x:row r="37">
      <x:c r="A37" s="7" t="n"/>
      <x:c r="B37" s="7" t="n"/>
      <x:c r="C37" s="7" t="n"/>
      <x:c r="D37" s="7" t="n"/>
      <x:c r="E37" s="7" t="n"/>
      <x:c r="F37" s="7" t="n"/>
      <x:c r="G37" s="8" t="str">
        <x:f>IF(OR(F37="",N('Severity Scale'!$B$2)=0),"",F37/'Severity Scale'!$B$2)</x:f>
      </x:c>
      <x:c r="H37" s="7" t="n"/>
      <x:c r="I37" s="9" t="str">
        <x:f>IF(H37="","",IFERROR(INDEX('Severity Scale'!$B$5:$B$9,H37+1)&amp;" ("&amp;INDEX('Severity Scale'!$C$5:$C$9,H37+1)&amp;")",""))</x:f>
      </x:c>
      <x:c r="J37" s="7" t="n"/>
      <x:c r="K37" s="7" t="n"/>
      <x:c r="L37" s="7" t="n"/>
      <x:c r="M37" s="7" t="n"/>
      <x:c r="N37" s="7" t="n"/>
      <x:c r="O37" s="10" t="n"/>
      <x:c r="P37" s="7" t="n"/>
    </x:row>
    <x:row r="38">
      <x:c r="A38" s="7" t="n"/>
      <x:c r="B38" s="7" t="n"/>
      <x:c r="C38" s="7" t="n"/>
      <x:c r="D38" s="7" t="n"/>
      <x:c r="E38" s="7" t="n"/>
      <x:c r="F38" s="7" t="n"/>
      <x:c r="G38" s="8" t="str">
        <x:f>IF(OR(F38="",N('Severity Scale'!$B$2)=0),"",F38/'Severity Scale'!$B$2)</x:f>
      </x:c>
      <x:c r="H38" s="7" t="n"/>
      <x:c r="I38" s="9" t="str">
        <x:f>IF(H38="","",IFERROR(INDEX('Severity Scale'!$B$5:$B$9,H38+1)&amp;" ("&amp;INDEX('Severity Scale'!$C$5:$C$9,H38+1)&amp;")",""))</x:f>
      </x:c>
      <x:c r="J38" s="7" t="n"/>
      <x:c r="K38" s="7" t="n"/>
      <x:c r="L38" s="7" t="n"/>
      <x:c r="M38" s="7" t="n"/>
      <x:c r="N38" s="7" t="n"/>
      <x:c r="O38" s="10" t="n"/>
      <x:c r="P38" s="7" t="n"/>
    </x:row>
    <x:row r="39">
      <x:c r="A39" s="7" t="n"/>
      <x:c r="B39" s="7" t="n"/>
      <x:c r="C39" s="7" t="n"/>
      <x:c r="D39" s="7" t="n"/>
      <x:c r="E39" s="7" t="n"/>
      <x:c r="F39" s="7" t="n"/>
      <x:c r="G39" s="8" t="str">
        <x:f>IF(OR(F39="",N('Severity Scale'!$B$2)=0),"",F39/'Severity Scale'!$B$2)</x:f>
      </x:c>
      <x:c r="H39" s="7" t="n"/>
      <x:c r="I39" s="9" t="str">
        <x:f>IF(H39="","",IFERROR(INDEX('Severity Scale'!$B$5:$B$9,H39+1)&amp;" ("&amp;INDEX('Severity Scale'!$C$5:$C$9,H39+1)&amp;")",""))</x:f>
      </x:c>
      <x:c r="J39" s="7" t="n"/>
      <x:c r="K39" s="7" t="n"/>
      <x:c r="L39" s="7" t="n"/>
      <x:c r="M39" s="7" t="n"/>
      <x:c r="N39" s="7" t="n"/>
      <x:c r="O39" s="10" t="n"/>
      <x:c r="P39" s="7" t="n"/>
    </x:row>
    <x:row r="40">
      <x:c r="A40" s="7" t="n"/>
      <x:c r="B40" s="7" t="n"/>
      <x:c r="C40" s="7" t="n"/>
      <x:c r="D40" s="7" t="n"/>
      <x:c r="E40" s="7" t="n"/>
      <x:c r="F40" s="7" t="n"/>
      <x:c r="G40" s="8" t="str">
        <x:f>IF(OR(F40="",N('Severity Scale'!$B$2)=0),"",F40/'Severity Scale'!$B$2)</x:f>
      </x:c>
      <x:c r="H40" s="7" t="n"/>
      <x:c r="I40" s="9" t="str">
        <x:f>IF(H40="","",IFERROR(INDEX('Severity Scale'!$B$5:$B$9,H40+1)&amp;" ("&amp;INDEX('Severity Scale'!$C$5:$C$9,H40+1)&amp;")",""))</x:f>
      </x:c>
      <x:c r="J40" s="7" t="n"/>
      <x:c r="K40" s="7" t="n"/>
      <x:c r="L40" s="7" t="n"/>
      <x:c r="M40" s="7" t="n"/>
      <x:c r="N40" s="7" t="n"/>
      <x:c r="O40" s="10" t="n"/>
      <x:c r="P40" s="7" t="n"/>
    </x:row>
    <x:row r="41">
      <x:c r="A41" s="7" t="n"/>
      <x:c r="B41" s="7" t="n"/>
      <x:c r="C41" s="7" t="n"/>
      <x:c r="D41" s="7" t="n"/>
      <x:c r="E41" s="7" t="n"/>
      <x:c r="F41" s="7" t="n"/>
      <x:c r="G41" s="8" t="str">
        <x:f>IF(OR(F41="",N('Severity Scale'!$B$2)=0),"",F41/'Severity Scale'!$B$2)</x:f>
      </x:c>
      <x:c r="H41" s="7" t="n"/>
      <x:c r="I41" s="9" t="str">
        <x:f>IF(H41="","",IFERROR(INDEX('Severity Scale'!$B$5:$B$9,H41+1)&amp;" ("&amp;INDEX('Severity Scale'!$C$5:$C$9,H41+1)&amp;")",""))</x:f>
      </x:c>
      <x:c r="J41" s="7" t="n"/>
      <x:c r="K41" s="7" t="n"/>
      <x:c r="L41" s="7" t="n"/>
      <x:c r="M41" s="7" t="n"/>
      <x:c r="N41" s="7" t="n"/>
      <x:c r="O41" s="10" t="n"/>
      <x:c r="P41" s="7" t="n"/>
    </x:row>
    <x:row r="42">
      <x:c r="A42" s="7" t="n"/>
      <x:c r="B42" s="7" t="n"/>
      <x:c r="C42" s="7" t="n"/>
      <x:c r="D42" s="7" t="n"/>
      <x:c r="E42" s="7" t="n"/>
      <x:c r="F42" s="7" t="n"/>
      <x:c r="G42" s="8" t="str">
        <x:f>IF(OR(F42="",N('Severity Scale'!$B$2)=0),"",F42/'Severity Scale'!$B$2)</x:f>
      </x:c>
      <x:c r="H42" s="7" t="n"/>
      <x:c r="I42" s="9" t="str">
        <x:f>IF(H42="","",IFERROR(INDEX('Severity Scale'!$B$5:$B$9,H42+1)&amp;" ("&amp;INDEX('Severity Scale'!$C$5:$C$9,H42+1)&amp;")",""))</x:f>
      </x:c>
      <x:c r="J42" s="7" t="n"/>
      <x:c r="K42" s="7" t="n"/>
      <x:c r="L42" s="7" t="n"/>
      <x:c r="M42" s="7" t="n"/>
      <x:c r="N42" s="7" t="n"/>
      <x:c r="O42" s="10" t="n"/>
      <x:c r="P42" s="7" t="n"/>
    </x:row>
    <x:row r="43">
      <x:c r="A43" s="7" t="n"/>
      <x:c r="B43" s="7" t="n"/>
      <x:c r="C43" s="7" t="n"/>
      <x:c r="D43" s="7" t="n"/>
      <x:c r="E43" s="7" t="n"/>
      <x:c r="F43" s="7" t="n"/>
      <x:c r="G43" s="8" t="str">
        <x:f>IF(OR(F43="",N('Severity Scale'!$B$2)=0),"",F43/'Severity Scale'!$B$2)</x:f>
      </x:c>
      <x:c r="H43" s="7" t="n"/>
      <x:c r="I43" s="9" t="str">
        <x:f>IF(H43="","",IFERROR(INDEX('Severity Scale'!$B$5:$B$9,H43+1)&amp;" ("&amp;INDEX('Severity Scale'!$C$5:$C$9,H43+1)&amp;")",""))</x:f>
      </x:c>
      <x:c r="J43" s="7" t="n"/>
      <x:c r="K43" s="7" t="n"/>
      <x:c r="L43" s="7" t="n"/>
      <x:c r="M43" s="7" t="n"/>
      <x:c r="N43" s="7" t="n"/>
      <x:c r="O43" s="10" t="n"/>
      <x:c r="P43" s="7" t="n"/>
    </x:row>
    <x:row r="44">
      <x:c r="A44" s="7" t="n"/>
      <x:c r="B44" s="7" t="n"/>
      <x:c r="C44" s="7" t="n"/>
      <x:c r="D44" s="7" t="n"/>
      <x:c r="E44" s="7" t="n"/>
      <x:c r="F44" s="7" t="n"/>
      <x:c r="G44" s="8" t="str">
        <x:f>IF(OR(F44="",N('Severity Scale'!$B$2)=0),"",F44/'Severity Scale'!$B$2)</x:f>
      </x:c>
      <x:c r="H44" s="7" t="n"/>
      <x:c r="I44" s="9" t="str">
        <x:f>IF(H44="","",IFERROR(INDEX('Severity Scale'!$B$5:$B$9,H44+1)&amp;" ("&amp;INDEX('Severity Scale'!$C$5:$C$9,H44+1)&amp;")",""))</x:f>
      </x:c>
      <x:c r="J44" s="7" t="n"/>
      <x:c r="K44" s="7" t="n"/>
      <x:c r="L44" s="7" t="n"/>
      <x:c r="M44" s="7" t="n"/>
      <x:c r="N44" s="7" t="n"/>
      <x:c r="O44" s="10" t="n"/>
      <x:c r="P44" s="7" t="n"/>
    </x:row>
    <x:row r="45">
      <x:c r="A45" s="7" t="n"/>
      <x:c r="B45" s="7" t="n"/>
      <x:c r="C45" s="7" t="n"/>
      <x:c r="D45" s="7" t="n"/>
      <x:c r="E45" s="7" t="n"/>
      <x:c r="F45" s="7" t="n"/>
      <x:c r="G45" s="8" t="str">
        <x:f>IF(OR(F45="",N('Severity Scale'!$B$2)=0),"",F45/'Severity Scale'!$B$2)</x:f>
      </x:c>
      <x:c r="H45" s="7" t="n"/>
      <x:c r="I45" s="9" t="str">
        <x:f>IF(H45="","",IFERROR(INDEX('Severity Scale'!$B$5:$B$9,H45+1)&amp;" ("&amp;INDEX('Severity Scale'!$C$5:$C$9,H45+1)&amp;")",""))</x:f>
      </x:c>
      <x:c r="J45" s="7" t="n"/>
      <x:c r="K45" s="7" t="n"/>
      <x:c r="L45" s="7" t="n"/>
      <x:c r="M45" s="7" t="n"/>
      <x:c r="N45" s="7" t="n"/>
      <x:c r="O45" s="10" t="n"/>
      <x:c r="P45" s="7" t="n"/>
    </x:row>
    <x:row r="46">
      <x:c r="A46" s="7" t="n"/>
      <x:c r="B46" s="7" t="n"/>
      <x:c r="C46" s="7" t="n"/>
      <x:c r="D46" s="7" t="n"/>
      <x:c r="E46" s="7" t="n"/>
      <x:c r="F46" s="7" t="n"/>
      <x:c r="G46" s="8" t="str">
        <x:f>IF(OR(F46="",N('Severity Scale'!$B$2)=0),"",F46/'Severity Scale'!$B$2)</x:f>
      </x:c>
      <x:c r="H46" s="7" t="n"/>
      <x:c r="I46" s="9" t="str">
        <x:f>IF(H46="","",IFERROR(INDEX('Severity Scale'!$B$5:$B$9,H46+1)&amp;" ("&amp;INDEX('Severity Scale'!$C$5:$C$9,H46+1)&amp;")",""))</x:f>
      </x:c>
      <x:c r="J46" s="7" t="n"/>
      <x:c r="K46" s="7" t="n"/>
      <x:c r="L46" s="7" t="n"/>
      <x:c r="M46" s="7" t="n"/>
      <x:c r="N46" s="7" t="n"/>
      <x:c r="O46" s="10" t="n"/>
      <x:c r="P46" s="7" t="n"/>
    </x:row>
    <x:row r="47">
      <x:c r="A47" s="7" t="n"/>
      <x:c r="B47" s="7" t="n"/>
      <x:c r="C47" s="7" t="n"/>
      <x:c r="D47" s="7" t="n"/>
      <x:c r="E47" s="7" t="n"/>
      <x:c r="F47" s="7" t="n"/>
      <x:c r="G47" s="8" t="str">
        <x:f>IF(OR(F47="",N('Severity Scale'!$B$2)=0),"",F47/'Severity Scale'!$B$2)</x:f>
      </x:c>
      <x:c r="H47" s="7" t="n"/>
      <x:c r="I47" s="9" t="str">
        <x:f>IF(H47="","",IFERROR(INDEX('Severity Scale'!$B$5:$B$9,H47+1)&amp;" ("&amp;INDEX('Severity Scale'!$C$5:$C$9,H47+1)&amp;")",""))</x:f>
      </x:c>
      <x:c r="J47" s="7" t="n"/>
      <x:c r="K47" s="7" t="n"/>
      <x:c r="L47" s="7" t="n"/>
      <x:c r="M47" s="7" t="n"/>
      <x:c r="N47" s="7" t="n"/>
      <x:c r="O47" s="10" t="n"/>
      <x:c r="P47" s="7" t="n"/>
    </x:row>
    <x:row r="48">
      <x:c r="A48" s="7" t="n"/>
      <x:c r="B48" s="7" t="n"/>
      <x:c r="C48" s="7" t="n"/>
      <x:c r="D48" s="7" t="n"/>
      <x:c r="E48" s="7" t="n"/>
      <x:c r="F48" s="7" t="n"/>
      <x:c r="G48" s="8" t="str">
        <x:f>IF(OR(F48="",N('Severity Scale'!$B$2)=0),"",F48/'Severity Scale'!$B$2)</x:f>
      </x:c>
      <x:c r="H48" s="7" t="n"/>
      <x:c r="I48" s="9" t="str">
        <x:f>IF(H48="","",IFERROR(INDEX('Severity Scale'!$B$5:$B$9,H48+1)&amp;" ("&amp;INDEX('Severity Scale'!$C$5:$C$9,H48+1)&amp;")",""))</x:f>
      </x:c>
      <x:c r="J48" s="7" t="n"/>
      <x:c r="K48" s="7" t="n"/>
      <x:c r="L48" s="7" t="n"/>
      <x:c r="M48" s="7" t="n"/>
      <x:c r="N48" s="7" t="n"/>
      <x:c r="O48" s="10" t="n"/>
      <x:c r="P48" s="7" t="n"/>
    </x:row>
    <x:row r="49">
      <x:c r="A49" s="7" t="n"/>
      <x:c r="B49" s="7" t="n"/>
      <x:c r="C49" s="7" t="n"/>
      <x:c r="D49" s="7" t="n"/>
      <x:c r="E49" s="7" t="n"/>
      <x:c r="F49" s="7" t="n"/>
      <x:c r="G49" s="8" t="str">
        <x:f>IF(OR(F49="",N('Severity Scale'!$B$2)=0),"",F49/'Severity Scale'!$B$2)</x:f>
      </x:c>
      <x:c r="H49" s="7" t="n"/>
      <x:c r="I49" s="9" t="str">
        <x:f>IF(H49="","",IFERROR(INDEX('Severity Scale'!$B$5:$B$9,H49+1)&amp;" ("&amp;INDEX('Severity Scale'!$C$5:$C$9,H49+1)&amp;")",""))</x:f>
      </x:c>
      <x:c r="J49" s="7" t="n"/>
      <x:c r="K49" s="7" t="n"/>
      <x:c r="L49" s="7" t="n"/>
      <x:c r="M49" s="7" t="n"/>
      <x:c r="N49" s="7" t="n"/>
      <x:c r="O49" s="10" t="n"/>
      <x:c r="P49" s="7" t="n"/>
    </x:row>
    <x:row r="50">
      <x:c r="A50" s="7" t="n"/>
      <x:c r="B50" s="7" t="n"/>
      <x:c r="C50" s="7" t="n"/>
      <x:c r="D50" s="7" t="n"/>
      <x:c r="E50" s="7" t="n"/>
      <x:c r="F50" s="7" t="n"/>
      <x:c r="G50" s="8" t="str">
        <x:f>IF(OR(F50="",N('Severity Scale'!$B$2)=0),"",F50/'Severity Scale'!$B$2)</x:f>
      </x:c>
      <x:c r="H50" s="7" t="n"/>
      <x:c r="I50" s="9" t="str">
        <x:f>IF(H50="","",IFERROR(INDEX('Severity Scale'!$B$5:$B$9,H50+1)&amp;" ("&amp;INDEX('Severity Scale'!$C$5:$C$9,H50+1)&amp;")",""))</x:f>
      </x:c>
      <x:c r="J50" s="7" t="n"/>
      <x:c r="K50" s="7" t="n"/>
      <x:c r="L50" s="7" t="n"/>
      <x:c r="M50" s="7" t="n"/>
      <x:c r="N50" s="7" t="n"/>
      <x:c r="O50" s="10" t="n"/>
      <x:c r="P50" s="7" t="n"/>
    </x:row>
    <x:row r="51">
      <x:c r="A51" s="7" t="n"/>
      <x:c r="B51" s="7" t="n"/>
      <x:c r="C51" s="7" t="n"/>
      <x:c r="D51" s="7" t="n"/>
      <x:c r="E51" s="7" t="n"/>
      <x:c r="F51" s="7" t="n"/>
      <x:c r="G51" s="8" t="str">
        <x:f>IF(OR(F51="",N('Severity Scale'!$B$2)=0),"",F51/'Severity Scale'!$B$2)</x:f>
      </x:c>
      <x:c r="H51" s="7" t="n"/>
      <x:c r="I51" s="9" t="str">
        <x:f>IF(H51="","",IFERROR(INDEX('Severity Scale'!$B$5:$B$9,H51+1)&amp;" ("&amp;INDEX('Severity Scale'!$C$5:$C$9,H51+1)&amp;")",""))</x:f>
      </x:c>
      <x:c r="J51" s="7" t="n"/>
      <x:c r="K51" s="7" t="n"/>
      <x:c r="L51" s="7" t="n"/>
      <x:c r="M51" s="7" t="n"/>
      <x:c r="N51" s="7" t="n"/>
      <x:c r="O51" s="10" t="n"/>
      <x:c r="P51" s="7" t="n"/>
    </x:row>
    <x:row r="52">
      <x:c r="A52" s="7" t="n"/>
      <x:c r="B52" s="7" t="n"/>
      <x:c r="C52" s="7" t="n"/>
      <x:c r="D52" s="7" t="n"/>
      <x:c r="E52" s="7" t="n"/>
      <x:c r="F52" s="7" t="n"/>
      <x:c r="G52" s="8" t="str">
        <x:f>IF(OR(F52="",N('Severity Scale'!$B$2)=0),"",F52/'Severity Scale'!$B$2)</x:f>
      </x:c>
      <x:c r="H52" s="7" t="n"/>
      <x:c r="I52" s="9" t="str">
        <x:f>IF(H52="","",IFERROR(INDEX('Severity Scale'!$B$5:$B$9,H52+1)&amp;" ("&amp;INDEX('Severity Scale'!$C$5:$C$9,H52+1)&amp;")",""))</x:f>
      </x:c>
      <x:c r="J52" s="7" t="n"/>
      <x:c r="K52" s="7" t="n"/>
      <x:c r="L52" s="7" t="n"/>
      <x:c r="M52" s="7" t="n"/>
      <x:c r="N52" s="7" t="n"/>
      <x:c r="O52" s="10" t="n"/>
      <x:c r="P52" s="7" t="n"/>
    </x:row>
    <x:row r="53">
      <x:c r="A53" s="7" t="n"/>
      <x:c r="B53" s="7" t="n"/>
      <x:c r="C53" s="7" t="n"/>
      <x:c r="D53" s="7" t="n"/>
      <x:c r="E53" s="7" t="n"/>
      <x:c r="F53" s="7" t="n"/>
      <x:c r="G53" s="8" t="str">
        <x:f>IF(OR(F53="",N('Severity Scale'!$B$2)=0),"",F53/'Severity Scale'!$B$2)</x:f>
      </x:c>
      <x:c r="H53" s="7" t="n"/>
      <x:c r="I53" s="9" t="str">
        <x:f>IF(H53="","",IFERROR(INDEX('Severity Scale'!$B$5:$B$9,H53+1)&amp;" ("&amp;INDEX('Severity Scale'!$C$5:$C$9,H53+1)&amp;")",""))</x:f>
      </x:c>
      <x:c r="J53" s="7" t="n"/>
      <x:c r="K53" s="7" t="n"/>
      <x:c r="L53" s="7" t="n"/>
      <x:c r="M53" s="7" t="n"/>
      <x:c r="N53" s="7" t="n"/>
      <x:c r="O53" s="10" t="n"/>
      <x:c r="P53" s="7" t="n"/>
    </x:row>
    <x:row r="54">
      <x:c r="A54" s="7" t="n"/>
      <x:c r="B54" s="7" t="n"/>
      <x:c r="C54" s="7" t="n"/>
      <x:c r="D54" s="7" t="n"/>
      <x:c r="E54" s="7" t="n"/>
      <x:c r="F54" s="7" t="n"/>
      <x:c r="G54" s="8" t="str">
        <x:f>IF(OR(F54="",N('Severity Scale'!$B$2)=0),"",F54/'Severity Scale'!$B$2)</x:f>
      </x:c>
      <x:c r="H54" s="7" t="n"/>
      <x:c r="I54" s="9" t="str">
        <x:f>IF(H54="","",IFERROR(INDEX('Severity Scale'!$B$5:$B$9,H54+1)&amp;" ("&amp;INDEX('Severity Scale'!$C$5:$C$9,H54+1)&amp;")",""))</x:f>
      </x:c>
      <x:c r="J54" s="7" t="n"/>
      <x:c r="K54" s="7" t="n"/>
      <x:c r="L54" s="7" t="n"/>
      <x:c r="M54" s="7" t="n"/>
      <x:c r="N54" s="7" t="n"/>
      <x:c r="O54" s="10" t="n"/>
      <x:c r="P54" s="7" t="n"/>
    </x:row>
    <x:row r="55">
      <x:c r="A55" s="7" t="n"/>
      <x:c r="B55" s="7" t="n"/>
      <x:c r="C55" s="7" t="n"/>
      <x:c r="D55" s="7" t="n"/>
      <x:c r="E55" s="7" t="n"/>
      <x:c r="F55" s="7" t="n"/>
      <x:c r="G55" s="8" t="str">
        <x:f>IF(OR(F55="",N('Severity Scale'!$B$2)=0),"",F55/'Severity Scale'!$B$2)</x:f>
      </x:c>
      <x:c r="H55" s="7" t="n"/>
      <x:c r="I55" s="9" t="str">
        <x:f>IF(H55="","",IFERROR(INDEX('Severity Scale'!$B$5:$B$9,H55+1)&amp;" ("&amp;INDEX('Severity Scale'!$C$5:$C$9,H55+1)&amp;")",""))</x:f>
      </x:c>
      <x:c r="J55" s="7" t="n"/>
      <x:c r="K55" s="7" t="n"/>
      <x:c r="L55" s="7" t="n"/>
      <x:c r="M55" s="7" t="n"/>
      <x:c r="N55" s="7" t="n"/>
      <x:c r="O55" s="10" t="n"/>
      <x:c r="P55" s="7" t="n"/>
    </x:row>
    <x:row r="56">
      <x:c r="A56" s="7" t="n"/>
      <x:c r="B56" s="7" t="n"/>
      <x:c r="C56" s="7" t="n"/>
      <x:c r="D56" s="7" t="n"/>
      <x:c r="E56" s="7" t="n"/>
      <x:c r="F56" s="7" t="n"/>
      <x:c r="G56" s="8" t="str">
        <x:f>IF(OR(F56="",N('Severity Scale'!$B$2)=0),"",F56/'Severity Scale'!$B$2)</x:f>
      </x:c>
      <x:c r="H56" s="7" t="n"/>
      <x:c r="I56" s="9" t="str">
        <x:f>IF(H56="","",IFERROR(INDEX('Severity Scale'!$B$5:$B$9,H56+1)&amp;" ("&amp;INDEX('Severity Scale'!$C$5:$C$9,H56+1)&amp;")",""))</x:f>
      </x:c>
      <x:c r="J56" s="7" t="n"/>
      <x:c r="K56" s="7" t="n"/>
      <x:c r="L56" s="7" t="n"/>
      <x:c r="M56" s="7" t="n"/>
      <x:c r="N56" s="7" t="n"/>
      <x:c r="O56" s="10" t="n"/>
      <x:c r="P56" s="7" t="n"/>
    </x:row>
    <x:row r="57">
      <x:c r="A57" s="7" t="n"/>
      <x:c r="B57" s="7" t="n"/>
      <x:c r="C57" s="7" t="n"/>
      <x:c r="D57" s="7" t="n"/>
      <x:c r="E57" s="7" t="n"/>
      <x:c r="F57" s="7" t="n"/>
      <x:c r="G57" s="8" t="str">
        <x:f>IF(OR(F57="",N('Severity Scale'!$B$2)=0),"",F57/'Severity Scale'!$B$2)</x:f>
      </x:c>
      <x:c r="H57" s="7" t="n"/>
      <x:c r="I57" s="9" t="str">
        <x:f>IF(H57="","",IFERROR(INDEX('Severity Scale'!$B$5:$B$9,H57+1)&amp;" ("&amp;INDEX('Severity Scale'!$C$5:$C$9,H57+1)&amp;")",""))</x:f>
      </x:c>
      <x:c r="J57" s="7" t="n"/>
      <x:c r="K57" s="7" t="n"/>
      <x:c r="L57" s="7" t="n"/>
      <x:c r="M57" s="7" t="n"/>
      <x:c r="N57" s="7" t="n"/>
      <x:c r="O57" s="10" t="n"/>
      <x:c r="P57" s="7" t="n"/>
    </x:row>
    <x:row r="58">
      <x:c r="A58" s="7" t="n"/>
      <x:c r="B58" s="7" t="n"/>
      <x:c r="C58" s="7" t="n"/>
      <x:c r="D58" s="7" t="n"/>
      <x:c r="E58" s="7" t="n"/>
      <x:c r="F58" s="7" t="n"/>
      <x:c r="G58" s="8" t="str">
        <x:f>IF(OR(F58="",N('Severity Scale'!$B$2)=0),"",F58/'Severity Scale'!$B$2)</x:f>
      </x:c>
      <x:c r="H58" s="7" t="n"/>
      <x:c r="I58" s="9" t="str">
        <x:f>IF(H58="","",IFERROR(INDEX('Severity Scale'!$B$5:$B$9,H58+1)&amp;" ("&amp;INDEX('Severity Scale'!$C$5:$C$9,H58+1)&amp;")",""))</x:f>
      </x:c>
      <x:c r="J58" s="7" t="n"/>
      <x:c r="K58" s="7" t="n"/>
      <x:c r="L58" s="7" t="n"/>
      <x:c r="M58" s="7" t="n"/>
      <x:c r="N58" s="7" t="n"/>
      <x:c r="O58" s="10" t="n"/>
      <x:c r="P58" s="7" t="n"/>
    </x:row>
    <x:row r="59">
      <x:c r="A59" s="7" t="n"/>
      <x:c r="B59" s="7" t="n"/>
      <x:c r="C59" s="7" t="n"/>
      <x:c r="D59" s="7" t="n"/>
      <x:c r="E59" s="7" t="n"/>
      <x:c r="F59" s="7" t="n"/>
      <x:c r="G59" s="8" t="str">
        <x:f>IF(OR(F59="",N('Severity Scale'!$B$2)=0),"",F59/'Severity Scale'!$B$2)</x:f>
      </x:c>
      <x:c r="H59" s="7" t="n"/>
      <x:c r="I59" s="9" t="str">
        <x:f>IF(H59="","",IFERROR(INDEX('Severity Scale'!$B$5:$B$9,H59+1)&amp;" ("&amp;INDEX('Severity Scale'!$C$5:$C$9,H59+1)&amp;")",""))</x:f>
      </x:c>
      <x:c r="J59" s="7" t="n"/>
      <x:c r="K59" s="7" t="n"/>
      <x:c r="L59" s="7" t="n"/>
      <x:c r="M59" s="7" t="n"/>
      <x:c r="N59" s="7" t="n"/>
      <x:c r="O59" s="10" t="n"/>
      <x:c r="P59" s="7" t="n"/>
    </x:row>
    <x:row r="60">
      <x:c r="A60" s="7" t="n"/>
      <x:c r="B60" s="7" t="n"/>
      <x:c r="C60" s="7" t="n"/>
      <x:c r="D60" s="7" t="n"/>
      <x:c r="E60" s="7" t="n"/>
      <x:c r="F60" s="7" t="n"/>
      <x:c r="G60" s="8" t="str">
        <x:f>IF(OR(F60="",N('Severity Scale'!$B$2)=0),"",F60/'Severity Scale'!$B$2)</x:f>
      </x:c>
      <x:c r="H60" s="7" t="n"/>
      <x:c r="I60" s="9" t="str">
        <x:f>IF(H60="","",IFERROR(INDEX('Severity Scale'!$B$5:$B$9,H60+1)&amp;" ("&amp;INDEX('Severity Scale'!$C$5:$C$9,H60+1)&amp;")",""))</x:f>
      </x:c>
      <x:c r="J60" s="7" t="n"/>
      <x:c r="K60" s="7" t="n"/>
      <x:c r="L60" s="7" t="n"/>
      <x:c r="M60" s="7" t="n"/>
      <x:c r="N60" s="7" t="n"/>
      <x:c r="O60" s="10" t="n"/>
      <x:c r="P60" s="7" t="n"/>
    </x:row>
    <x:row r="61">
      <x:c r="A61" s="7" t="n"/>
      <x:c r="B61" s="7" t="n"/>
      <x:c r="C61" s="7" t="n"/>
      <x:c r="D61" s="7" t="n"/>
      <x:c r="E61" s="7" t="n"/>
      <x:c r="F61" s="7" t="n"/>
      <x:c r="G61" s="8" t="str">
        <x:f>IF(OR(F61="",N('Severity Scale'!$B$2)=0),"",F61/'Severity Scale'!$B$2)</x:f>
      </x:c>
      <x:c r="H61" s="7" t="n"/>
      <x:c r="I61" s="9" t="str">
        <x:f>IF(H61="","",IFERROR(INDEX('Severity Scale'!$B$5:$B$9,H61+1)&amp;" ("&amp;INDEX('Severity Scale'!$C$5:$C$9,H61+1)&amp;")",""))</x:f>
      </x:c>
      <x:c r="J61" s="7" t="n"/>
      <x:c r="K61" s="7" t="n"/>
      <x:c r="L61" s="7" t="n"/>
      <x:c r="M61" s="7" t="n"/>
      <x:c r="N61" s="7" t="n"/>
      <x:c r="O61" s="10" t="n"/>
      <x:c r="P61" s="7" t="n"/>
    </x:row>
    <x:row r="62">
      <x:c r="A62" s="7" t="n"/>
      <x:c r="B62" s="7" t="n"/>
      <x:c r="C62" s="7" t="n"/>
      <x:c r="D62" s="7" t="n"/>
      <x:c r="E62" s="7" t="n"/>
      <x:c r="F62" s="7" t="n"/>
      <x:c r="G62" s="8" t="str">
        <x:f>IF(OR(F62="",N('Severity Scale'!$B$2)=0),"",F62/'Severity Scale'!$B$2)</x:f>
      </x:c>
      <x:c r="H62" s="7" t="n"/>
      <x:c r="I62" s="9" t="str">
        <x:f>IF(H62="","",IFERROR(INDEX('Severity Scale'!$B$5:$B$9,H62+1)&amp;" ("&amp;INDEX('Severity Scale'!$C$5:$C$9,H62+1)&amp;")",""))</x:f>
      </x:c>
      <x:c r="J62" s="7" t="n"/>
      <x:c r="K62" s="7" t="n"/>
      <x:c r="L62" s="7" t="n"/>
      <x:c r="M62" s="7" t="n"/>
      <x:c r="N62" s="7" t="n"/>
      <x:c r="O62" s="10" t="n"/>
      <x:c r="P62" s="7" t="n"/>
    </x:row>
    <x:row r="63">
      <x:c r="A63" s="7" t="n"/>
      <x:c r="B63" s="7" t="n"/>
      <x:c r="C63" s="7" t="n"/>
      <x:c r="D63" s="7" t="n"/>
      <x:c r="E63" s="7" t="n"/>
      <x:c r="F63" s="7" t="n"/>
      <x:c r="G63" s="8" t="str">
        <x:f>IF(OR(F63="",N('Severity Scale'!$B$2)=0),"",F63/'Severity Scale'!$B$2)</x:f>
      </x:c>
      <x:c r="H63" s="7" t="n"/>
      <x:c r="I63" s="9" t="str">
        <x:f>IF(H63="","",IFERROR(INDEX('Severity Scale'!$B$5:$B$9,H63+1)&amp;" ("&amp;INDEX('Severity Scale'!$C$5:$C$9,H63+1)&amp;")",""))</x:f>
      </x:c>
      <x:c r="J63" s="7" t="n"/>
      <x:c r="K63" s="7" t="n"/>
      <x:c r="L63" s="7" t="n"/>
      <x:c r="M63" s="7" t="n"/>
      <x:c r="N63" s="7" t="n"/>
      <x:c r="O63" s="10" t="n"/>
      <x:c r="P63" s="7" t="n"/>
    </x:row>
    <x:row r="64">
      <x:c r="A64" s="7" t="n"/>
      <x:c r="B64" s="7" t="n"/>
      <x:c r="C64" s="7" t="n"/>
      <x:c r="D64" s="7" t="n"/>
      <x:c r="E64" s="7" t="n"/>
      <x:c r="F64" s="7" t="n"/>
      <x:c r="G64" s="8" t="str">
        <x:f>IF(OR(F64="",N('Severity Scale'!$B$2)=0),"",F64/'Severity Scale'!$B$2)</x:f>
      </x:c>
      <x:c r="H64" s="7" t="n"/>
      <x:c r="I64" s="9" t="str">
        <x:f>IF(H64="","",IFERROR(INDEX('Severity Scale'!$B$5:$B$9,H64+1)&amp;" ("&amp;INDEX('Severity Scale'!$C$5:$C$9,H64+1)&amp;")",""))</x:f>
      </x:c>
      <x:c r="J64" s="7" t="n"/>
      <x:c r="K64" s="7" t="n"/>
      <x:c r="L64" s="7" t="n"/>
      <x:c r="M64" s="7" t="n"/>
      <x:c r="N64" s="7" t="n"/>
      <x:c r="O64" s="10" t="n"/>
      <x:c r="P64" s="7" t="n"/>
    </x:row>
    <x:row r="65">
      <x:c r="A65" s="7" t="n"/>
      <x:c r="B65" s="7" t="n"/>
      <x:c r="C65" s="7" t="n"/>
      <x:c r="D65" s="7" t="n"/>
      <x:c r="E65" s="7" t="n"/>
      <x:c r="F65" s="7" t="n"/>
      <x:c r="G65" s="8" t="str">
        <x:f>IF(OR(F65="",N('Severity Scale'!$B$2)=0),"",F65/'Severity Scale'!$B$2)</x:f>
      </x:c>
      <x:c r="H65" s="7" t="n"/>
      <x:c r="I65" s="9" t="str">
        <x:f>IF(H65="","",IFERROR(INDEX('Severity Scale'!$B$5:$B$9,H65+1)&amp;" ("&amp;INDEX('Severity Scale'!$C$5:$C$9,H65+1)&amp;")",""))</x:f>
      </x:c>
      <x:c r="J65" s="7" t="n"/>
      <x:c r="K65" s="7" t="n"/>
      <x:c r="L65" s="7" t="n"/>
      <x:c r="M65" s="7" t="n"/>
      <x:c r="N65" s="7" t="n"/>
      <x:c r="O65" s="10" t="n"/>
      <x:c r="P65" s="7" t="n"/>
    </x:row>
    <x:row r="66">
      <x:c r="A66" s="7" t="n"/>
      <x:c r="B66" s="7" t="n"/>
      <x:c r="C66" s="7" t="n"/>
      <x:c r="D66" s="7" t="n"/>
      <x:c r="E66" s="7" t="n"/>
      <x:c r="F66" s="7" t="n"/>
      <x:c r="G66" s="8" t="str">
        <x:f>IF(OR(F66="",N('Severity Scale'!$B$2)=0),"",F66/'Severity Scale'!$B$2)</x:f>
      </x:c>
      <x:c r="H66" s="7" t="n"/>
      <x:c r="I66" s="9" t="str">
        <x:f>IF(H66="","",IFERROR(INDEX('Severity Scale'!$B$5:$B$9,H66+1)&amp;" ("&amp;INDEX('Severity Scale'!$C$5:$C$9,H66+1)&amp;")",""))</x:f>
      </x:c>
      <x:c r="J66" s="7" t="n"/>
      <x:c r="K66" s="7" t="n"/>
      <x:c r="L66" s="7" t="n"/>
      <x:c r="M66" s="7" t="n"/>
      <x:c r="N66" s="7" t="n"/>
      <x:c r="O66" s="10" t="n"/>
      <x:c r="P66" s="7" t="n"/>
    </x:row>
    <x:row r="67">
      <x:c r="A67" s="7" t="n"/>
      <x:c r="B67" s="7" t="n"/>
      <x:c r="C67" s="7" t="n"/>
      <x:c r="D67" s="7" t="n"/>
      <x:c r="E67" s="7" t="n"/>
      <x:c r="F67" s="7" t="n"/>
      <x:c r="G67" s="8" t="str">
        <x:f>IF(OR(F67="",N('Severity Scale'!$B$2)=0),"",F67/'Severity Scale'!$B$2)</x:f>
      </x:c>
      <x:c r="H67" s="7" t="n"/>
      <x:c r="I67" s="9" t="str">
        <x:f>IF(H67="","",IFERROR(INDEX('Severity Scale'!$B$5:$B$9,H67+1)&amp;" ("&amp;INDEX('Severity Scale'!$C$5:$C$9,H67+1)&amp;")",""))</x:f>
      </x:c>
      <x:c r="J67" s="7" t="n"/>
      <x:c r="K67" s="7" t="n"/>
      <x:c r="L67" s="7" t="n"/>
      <x:c r="M67" s="7" t="n"/>
      <x:c r="N67" s="7" t="n"/>
      <x:c r="O67" s="10" t="n"/>
      <x:c r="P67" s="7" t="n"/>
    </x:row>
    <x:row r="68">
      <x:c r="A68" s="7" t="n"/>
      <x:c r="B68" s="7" t="n"/>
      <x:c r="C68" s="7" t="n"/>
      <x:c r="D68" s="7" t="n"/>
      <x:c r="E68" s="7" t="n"/>
      <x:c r="F68" s="7" t="n"/>
      <x:c r="G68" s="8" t="str">
        <x:f>IF(OR(F68="",N('Severity Scale'!$B$2)=0),"",F68/'Severity Scale'!$B$2)</x:f>
      </x:c>
      <x:c r="H68" s="7" t="n"/>
      <x:c r="I68" s="9" t="str">
        <x:f>IF(H68="","",IFERROR(INDEX('Severity Scale'!$B$5:$B$9,H68+1)&amp;" ("&amp;INDEX('Severity Scale'!$C$5:$C$9,H68+1)&amp;")",""))</x:f>
      </x:c>
      <x:c r="J68" s="7" t="n"/>
      <x:c r="K68" s="7" t="n"/>
      <x:c r="L68" s="7" t="n"/>
      <x:c r="M68" s="7" t="n"/>
      <x:c r="N68" s="7" t="n"/>
      <x:c r="O68" s="10" t="n"/>
      <x:c r="P68" s="7" t="n"/>
    </x:row>
    <x:row r="69">
      <x:c r="A69" s="7" t="n"/>
      <x:c r="B69" s="7" t="n"/>
      <x:c r="C69" s="7" t="n"/>
      <x:c r="D69" s="7" t="n"/>
      <x:c r="E69" s="7" t="n"/>
      <x:c r="F69" s="7" t="n"/>
      <x:c r="G69" s="8" t="str">
        <x:f>IF(OR(F69="",N('Severity Scale'!$B$2)=0),"",F69/'Severity Scale'!$B$2)</x:f>
      </x:c>
      <x:c r="H69" s="7" t="n"/>
      <x:c r="I69" s="9" t="str">
        <x:f>IF(H69="","",IFERROR(INDEX('Severity Scale'!$B$5:$B$9,H69+1)&amp;" ("&amp;INDEX('Severity Scale'!$C$5:$C$9,H69+1)&amp;")",""))</x:f>
      </x:c>
      <x:c r="J69" s="7" t="n"/>
      <x:c r="K69" s="7" t="n"/>
      <x:c r="L69" s="7" t="n"/>
      <x:c r="M69" s="7" t="n"/>
      <x:c r="N69" s="7" t="n"/>
      <x:c r="O69" s="10" t="n"/>
      <x:c r="P69" s="7" t="n"/>
    </x:row>
    <x:row r="70">
      <x:c r="A70" s="7" t="n"/>
      <x:c r="B70" s="7" t="n"/>
      <x:c r="C70" s="7" t="n"/>
      <x:c r="D70" s="7" t="n"/>
      <x:c r="E70" s="7" t="n"/>
      <x:c r="F70" s="7" t="n"/>
      <x:c r="G70" s="8" t="str">
        <x:f>IF(OR(F70="",N('Severity Scale'!$B$2)=0),"",F70/'Severity Scale'!$B$2)</x:f>
      </x:c>
      <x:c r="H70" s="7" t="n"/>
      <x:c r="I70" s="9" t="str">
        <x:f>IF(H70="","",IFERROR(INDEX('Severity Scale'!$B$5:$B$9,H70+1)&amp;" ("&amp;INDEX('Severity Scale'!$C$5:$C$9,H70+1)&amp;")",""))</x:f>
      </x:c>
      <x:c r="J70" s="7" t="n"/>
      <x:c r="K70" s="7" t="n"/>
      <x:c r="L70" s="7" t="n"/>
      <x:c r="M70" s="7" t="n"/>
      <x:c r="N70" s="7" t="n"/>
      <x:c r="O70" s="10" t="n"/>
      <x:c r="P70" s="7" t="n"/>
    </x:row>
    <x:row r="71">
      <x:c r="A71" s="7" t="n"/>
      <x:c r="B71" s="7" t="n"/>
      <x:c r="C71" s="7" t="n"/>
      <x:c r="D71" s="7" t="n"/>
      <x:c r="E71" s="7" t="n"/>
      <x:c r="F71" s="7" t="n"/>
      <x:c r="G71" s="8" t="str">
        <x:f>IF(OR(F71="",N('Severity Scale'!$B$2)=0),"",F71/'Severity Scale'!$B$2)</x:f>
      </x:c>
      <x:c r="H71" s="7" t="n"/>
      <x:c r="I71" s="9" t="str">
        <x:f>IF(H71="","",IFERROR(INDEX('Severity Scale'!$B$5:$B$9,H71+1)&amp;" ("&amp;INDEX('Severity Scale'!$C$5:$C$9,H71+1)&amp;")",""))</x:f>
      </x:c>
      <x:c r="J71" s="7" t="n"/>
      <x:c r="K71" s="7" t="n"/>
      <x:c r="L71" s="7" t="n"/>
      <x:c r="M71" s="7" t="n"/>
      <x:c r="N71" s="7" t="n"/>
      <x:c r="O71" s="10" t="n"/>
      <x:c r="P71" s="7" t="n"/>
    </x:row>
    <x:row r="72">
      <x:c r="A72" s="7" t="n"/>
      <x:c r="B72" s="7" t="n"/>
      <x:c r="C72" s="7" t="n"/>
      <x:c r="D72" s="7" t="n"/>
      <x:c r="E72" s="7" t="n"/>
      <x:c r="F72" s="7" t="n"/>
      <x:c r="G72" s="8" t="str">
        <x:f>IF(OR(F72="",N('Severity Scale'!$B$2)=0),"",F72/'Severity Scale'!$B$2)</x:f>
      </x:c>
      <x:c r="H72" s="7" t="n"/>
      <x:c r="I72" s="9" t="str">
        <x:f>IF(H72="","",IFERROR(INDEX('Severity Scale'!$B$5:$B$9,H72+1)&amp;" ("&amp;INDEX('Severity Scale'!$C$5:$C$9,H72+1)&amp;")",""))</x:f>
      </x:c>
      <x:c r="J72" s="7" t="n"/>
      <x:c r="K72" s="7" t="n"/>
      <x:c r="L72" s="7" t="n"/>
      <x:c r="M72" s="7" t="n"/>
      <x:c r="N72" s="7" t="n"/>
      <x:c r="O72" s="10" t="n"/>
      <x:c r="P72" s="7" t="n"/>
    </x:row>
    <x:row r="73">
      <x:c r="A73" s="7" t="n"/>
      <x:c r="B73" s="7" t="n"/>
      <x:c r="C73" s="7" t="n"/>
      <x:c r="D73" s="7" t="n"/>
      <x:c r="E73" s="7" t="n"/>
      <x:c r="F73" s="7" t="n"/>
      <x:c r="G73" s="8" t="str">
        <x:f>IF(OR(F73="",N('Severity Scale'!$B$2)=0),"",F73/'Severity Scale'!$B$2)</x:f>
      </x:c>
      <x:c r="H73" s="7" t="n"/>
      <x:c r="I73" s="9" t="str">
        <x:f>IF(H73="","",IFERROR(INDEX('Severity Scale'!$B$5:$B$9,H73+1)&amp;" ("&amp;INDEX('Severity Scale'!$C$5:$C$9,H73+1)&amp;")",""))</x:f>
      </x:c>
      <x:c r="J73" s="7" t="n"/>
      <x:c r="K73" s="7" t="n"/>
      <x:c r="L73" s="7" t="n"/>
      <x:c r="M73" s="7" t="n"/>
      <x:c r="N73" s="7" t="n"/>
      <x:c r="O73" s="10" t="n"/>
      <x:c r="P73" s="7" t="n"/>
    </x:row>
    <x:row r="74">
      <x:c r="A74" s="7" t="n"/>
      <x:c r="B74" s="7" t="n"/>
      <x:c r="C74" s="7" t="n"/>
      <x:c r="D74" s="7" t="n"/>
      <x:c r="E74" s="7" t="n"/>
      <x:c r="F74" s="7" t="n"/>
      <x:c r="G74" s="8" t="str">
        <x:f>IF(OR(F74="",N('Severity Scale'!$B$2)=0),"",F74/'Severity Scale'!$B$2)</x:f>
      </x:c>
      <x:c r="H74" s="7" t="n"/>
      <x:c r="I74" s="9" t="str">
        <x:f>IF(H74="","",IFERROR(INDEX('Severity Scale'!$B$5:$B$9,H74+1)&amp;" ("&amp;INDEX('Severity Scale'!$C$5:$C$9,H74+1)&amp;")",""))</x:f>
      </x:c>
      <x:c r="J74" s="7" t="n"/>
      <x:c r="K74" s="7" t="n"/>
      <x:c r="L74" s="7" t="n"/>
      <x:c r="M74" s="7" t="n"/>
      <x:c r="N74" s="7" t="n"/>
      <x:c r="O74" s="10" t="n"/>
      <x:c r="P74" s="7" t="n"/>
    </x:row>
    <x:row r="75">
      <x:c r="A75" s="7" t="n"/>
      <x:c r="B75" s="7" t="n"/>
      <x:c r="C75" s="7" t="n"/>
      <x:c r="D75" s="7" t="n"/>
      <x:c r="E75" s="7" t="n"/>
      <x:c r="F75" s="7" t="n"/>
      <x:c r="G75" s="8" t="str">
        <x:f>IF(OR(F75="",N('Severity Scale'!$B$2)=0),"",F75/'Severity Scale'!$B$2)</x:f>
      </x:c>
      <x:c r="H75" s="7" t="n"/>
      <x:c r="I75" s="9" t="str">
        <x:f>IF(H75="","",IFERROR(INDEX('Severity Scale'!$B$5:$B$9,H75+1)&amp;" ("&amp;INDEX('Severity Scale'!$C$5:$C$9,H75+1)&amp;")",""))</x:f>
      </x:c>
      <x:c r="J75" s="7" t="n"/>
      <x:c r="K75" s="7" t="n"/>
      <x:c r="L75" s="7" t="n"/>
      <x:c r="M75" s="7" t="n"/>
      <x:c r="N75" s="7" t="n"/>
      <x:c r="O75" s="10" t="n"/>
      <x:c r="P75" s="7" t="n"/>
    </x:row>
    <x:row r="76">
      <x:c r="A76" s="7" t="n"/>
      <x:c r="B76" s="7" t="n"/>
      <x:c r="C76" s="7" t="n"/>
      <x:c r="D76" s="7" t="n"/>
      <x:c r="E76" s="7" t="n"/>
      <x:c r="F76" s="7" t="n"/>
      <x:c r="G76" s="8" t="str">
        <x:f>IF(OR(F76="",N('Severity Scale'!$B$2)=0),"",F76/'Severity Scale'!$B$2)</x:f>
      </x:c>
      <x:c r="H76" s="7" t="n"/>
      <x:c r="I76" s="9" t="str">
        <x:f>IF(H76="","",IFERROR(INDEX('Severity Scale'!$B$5:$B$9,H76+1)&amp;" ("&amp;INDEX('Severity Scale'!$C$5:$C$9,H76+1)&amp;")",""))</x:f>
      </x:c>
      <x:c r="J76" s="7" t="n"/>
      <x:c r="K76" s="7" t="n"/>
      <x:c r="L76" s="7" t="n"/>
      <x:c r="M76" s="7" t="n"/>
      <x:c r="N76" s="7" t="n"/>
      <x:c r="O76" s="10" t="n"/>
      <x:c r="P76" s="7" t="n"/>
    </x:row>
    <x:row r="77">
      <x:c r="A77" s="7" t="n"/>
      <x:c r="B77" s="7" t="n"/>
      <x:c r="C77" s="7" t="n"/>
      <x:c r="D77" s="7" t="n"/>
      <x:c r="E77" s="7" t="n"/>
      <x:c r="F77" s="7" t="n"/>
      <x:c r="G77" s="8" t="str">
        <x:f>IF(OR(F77="",N('Severity Scale'!$B$2)=0),"",F77/'Severity Scale'!$B$2)</x:f>
      </x:c>
      <x:c r="H77" s="7" t="n"/>
      <x:c r="I77" s="9" t="str">
        <x:f>IF(H77="","",IFERROR(INDEX('Severity Scale'!$B$5:$B$9,H77+1)&amp;" ("&amp;INDEX('Severity Scale'!$C$5:$C$9,H77+1)&amp;")",""))</x:f>
      </x:c>
      <x:c r="J77" s="7" t="n"/>
      <x:c r="K77" s="7" t="n"/>
      <x:c r="L77" s="7" t="n"/>
      <x:c r="M77" s="7" t="n"/>
      <x:c r="N77" s="7" t="n"/>
      <x:c r="O77" s="10" t="n"/>
      <x:c r="P77" s="7" t="n"/>
    </x:row>
    <x:row r="78">
      <x:c r="A78" s="7" t="n"/>
      <x:c r="B78" s="7" t="n"/>
      <x:c r="C78" s="7" t="n"/>
      <x:c r="D78" s="7" t="n"/>
      <x:c r="E78" s="7" t="n"/>
      <x:c r="F78" s="7" t="n"/>
      <x:c r="G78" s="8" t="str">
        <x:f>IF(OR(F78="",N('Severity Scale'!$B$2)=0),"",F78/'Severity Scale'!$B$2)</x:f>
      </x:c>
      <x:c r="H78" s="7" t="n"/>
      <x:c r="I78" s="9" t="str">
        <x:f>IF(H78="","",IFERROR(INDEX('Severity Scale'!$B$5:$B$9,H78+1)&amp;" ("&amp;INDEX('Severity Scale'!$C$5:$C$9,H78+1)&amp;")",""))</x:f>
      </x:c>
      <x:c r="J78" s="7" t="n"/>
      <x:c r="K78" s="7" t="n"/>
      <x:c r="L78" s="7" t="n"/>
      <x:c r="M78" s="7" t="n"/>
      <x:c r="N78" s="7" t="n"/>
      <x:c r="O78" s="10" t="n"/>
      <x:c r="P78" s="7" t="n"/>
    </x:row>
    <x:row r="79">
      <x:c r="A79" s="7" t="n"/>
      <x:c r="B79" s="7" t="n"/>
      <x:c r="C79" s="7" t="n"/>
      <x:c r="D79" s="7" t="n"/>
      <x:c r="E79" s="7" t="n"/>
      <x:c r="F79" s="7" t="n"/>
      <x:c r="G79" s="8" t="str">
        <x:f>IF(OR(F79="",N('Severity Scale'!$B$2)=0),"",F79/'Severity Scale'!$B$2)</x:f>
      </x:c>
      <x:c r="H79" s="7" t="n"/>
      <x:c r="I79" s="9" t="str">
        <x:f>IF(H79="","",IFERROR(INDEX('Severity Scale'!$B$5:$B$9,H79+1)&amp;" ("&amp;INDEX('Severity Scale'!$C$5:$C$9,H79+1)&amp;")",""))</x:f>
      </x:c>
      <x:c r="J79" s="7" t="n"/>
      <x:c r="K79" s="7" t="n"/>
      <x:c r="L79" s="7" t="n"/>
      <x:c r="M79" s="7" t="n"/>
      <x:c r="N79" s="7" t="n"/>
      <x:c r="O79" s="10" t="n"/>
      <x:c r="P79" s="7" t="n"/>
    </x:row>
    <x:row r="80">
      <x:c r="A80" s="7" t="n"/>
      <x:c r="B80" s="7" t="n"/>
      <x:c r="C80" s="7" t="n"/>
      <x:c r="D80" s="7" t="n"/>
      <x:c r="E80" s="7" t="n"/>
      <x:c r="F80" s="7" t="n"/>
      <x:c r="G80" s="8" t="str">
        <x:f>IF(OR(F80="",N('Severity Scale'!$B$2)=0),"",F80/'Severity Scale'!$B$2)</x:f>
      </x:c>
      <x:c r="H80" s="7" t="n"/>
      <x:c r="I80" s="9" t="str">
        <x:f>IF(H80="","",IFERROR(INDEX('Severity Scale'!$B$5:$B$9,H80+1)&amp;" ("&amp;INDEX('Severity Scale'!$C$5:$C$9,H80+1)&amp;")",""))</x:f>
      </x:c>
      <x:c r="J80" s="7" t="n"/>
      <x:c r="K80" s="7" t="n"/>
      <x:c r="L80" s="7" t="n"/>
      <x:c r="M80" s="7" t="n"/>
      <x:c r="N80" s="7" t="n"/>
      <x:c r="O80" s="10" t="n"/>
      <x:c r="P80" s="7" t="n"/>
    </x:row>
    <x:row r="81">
      <x:c r="A81" s="7" t="n"/>
      <x:c r="B81" s="7" t="n"/>
      <x:c r="C81" s="7" t="n"/>
      <x:c r="D81" s="7" t="n"/>
      <x:c r="E81" s="7" t="n"/>
      <x:c r="F81" s="7" t="n"/>
      <x:c r="G81" s="8" t="str">
        <x:f>IF(OR(F81="",N('Severity Scale'!$B$2)=0),"",F81/'Severity Scale'!$B$2)</x:f>
      </x:c>
      <x:c r="H81" s="7" t="n"/>
      <x:c r="I81" s="9" t="str">
        <x:f>IF(H81="","",IFERROR(INDEX('Severity Scale'!$B$5:$B$9,H81+1)&amp;" ("&amp;INDEX('Severity Scale'!$C$5:$C$9,H81+1)&amp;")",""))</x:f>
      </x:c>
      <x:c r="J81" s="7" t="n"/>
      <x:c r="K81" s="7" t="n"/>
      <x:c r="L81" s="7" t="n"/>
      <x:c r="M81" s="7" t="n"/>
      <x:c r="N81" s="7" t="n"/>
      <x:c r="O81" s="10" t="n"/>
      <x:c r="P81" s="7" t="n"/>
    </x:row>
    <x:row r="82">
      <x:c r="A82" s="7" t="n"/>
      <x:c r="B82" s="7" t="n"/>
      <x:c r="C82" s="7" t="n"/>
      <x:c r="D82" s="7" t="n"/>
      <x:c r="E82" s="7" t="n"/>
      <x:c r="F82" s="7" t="n"/>
      <x:c r="G82" s="8" t="str">
        <x:f>IF(OR(F82="",N('Severity Scale'!$B$2)=0),"",F82/'Severity Scale'!$B$2)</x:f>
      </x:c>
      <x:c r="H82" s="7" t="n"/>
      <x:c r="I82" s="9" t="str">
        <x:f>IF(H82="","",IFERROR(INDEX('Severity Scale'!$B$5:$B$9,H82+1)&amp;" ("&amp;INDEX('Severity Scale'!$C$5:$C$9,H82+1)&amp;")",""))</x:f>
      </x:c>
      <x:c r="J82" s="7" t="n"/>
      <x:c r="K82" s="7" t="n"/>
      <x:c r="L82" s="7" t="n"/>
      <x:c r="M82" s="7" t="n"/>
      <x:c r="N82" s="7" t="n"/>
      <x:c r="O82" s="10" t="n"/>
      <x:c r="P82" s="7" t="n"/>
    </x:row>
    <x:row r="83">
      <x:c r="A83" s="7" t="n"/>
      <x:c r="B83" s="7" t="n"/>
      <x:c r="C83" s="7" t="n"/>
      <x:c r="D83" s="7" t="n"/>
      <x:c r="E83" s="7" t="n"/>
      <x:c r="F83" s="7" t="n"/>
      <x:c r="G83" s="8" t="str">
        <x:f>IF(OR(F83="",N('Severity Scale'!$B$2)=0),"",F83/'Severity Scale'!$B$2)</x:f>
      </x:c>
      <x:c r="H83" s="7" t="n"/>
      <x:c r="I83" s="9" t="str">
        <x:f>IF(H83="","",IFERROR(INDEX('Severity Scale'!$B$5:$B$9,H83+1)&amp;" ("&amp;INDEX('Severity Scale'!$C$5:$C$9,H83+1)&amp;")",""))</x:f>
      </x:c>
      <x:c r="J83" s="7" t="n"/>
      <x:c r="K83" s="7" t="n"/>
      <x:c r="L83" s="7" t="n"/>
      <x:c r="M83" s="7" t="n"/>
      <x:c r="N83" s="7" t="n"/>
      <x:c r="O83" s="10" t="n"/>
      <x:c r="P83" s="7" t="n"/>
    </x:row>
    <x:row r="84">
      <x:c r="A84" s="7" t="n"/>
      <x:c r="B84" s="7" t="n"/>
      <x:c r="C84" s="7" t="n"/>
      <x:c r="D84" s="7" t="n"/>
      <x:c r="E84" s="7" t="n"/>
      <x:c r="F84" s="7" t="n"/>
      <x:c r="G84" s="8" t="str">
        <x:f>IF(OR(F84="",N('Severity Scale'!$B$2)=0),"",F84/'Severity Scale'!$B$2)</x:f>
      </x:c>
      <x:c r="H84" s="7" t="n"/>
      <x:c r="I84" s="9" t="str">
        <x:f>IF(H84="","",IFERROR(INDEX('Severity Scale'!$B$5:$B$9,H84+1)&amp;" ("&amp;INDEX('Severity Scale'!$C$5:$C$9,H84+1)&amp;")",""))</x:f>
      </x:c>
      <x:c r="J84" s="7" t="n"/>
      <x:c r="K84" s="7" t="n"/>
      <x:c r="L84" s="7" t="n"/>
      <x:c r="M84" s="7" t="n"/>
      <x:c r="N84" s="7" t="n"/>
      <x:c r="O84" s="10" t="n"/>
      <x:c r="P84" s="7" t="n"/>
    </x:row>
    <x:row r="85">
      <x:c r="A85" s="7" t="n"/>
      <x:c r="B85" s="7" t="n"/>
      <x:c r="C85" s="7" t="n"/>
      <x:c r="D85" s="7" t="n"/>
      <x:c r="E85" s="7" t="n"/>
      <x:c r="F85" s="7" t="n"/>
      <x:c r="G85" s="8" t="str">
        <x:f>IF(OR(F85="",N('Severity Scale'!$B$2)=0),"",F85/'Severity Scale'!$B$2)</x:f>
      </x:c>
      <x:c r="H85" s="7" t="n"/>
      <x:c r="I85" s="9" t="str">
        <x:f>IF(H85="","",IFERROR(INDEX('Severity Scale'!$B$5:$B$9,H85+1)&amp;" ("&amp;INDEX('Severity Scale'!$C$5:$C$9,H85+1)&amp;")",""))</x:f>
      </x:c>
      <x:c r="J85" s="7" t="n"/>
      <x:c r="K85" s="7" t="n"/>
      <x:c r="L85" s="7" t="n"/>
      <x:c r="M85" s="7" t="n"/>
      <x:c r="N85" s="7" t="n"/>
      <x:c r="O85" s="10" t="n"/>
      <x:c r="P85" s="7" t="n"/>
    </x:row>
    <x:row r="86">
      <x:c r="A86" s="7" t="n"/>
      <x:c r="B86" s="7" t="n"/>
      <x:c r="C86" s="7" t="n"/>
      <x:c r="D86" s="7" t="n"/>
      <x:c r="E86" s="7" t="n"/>
      <x:c r="F86" s="7" t="n"/>
      <x:c r="G86" s="8" t="str">
        <x:f>IF(OR(F86="",N('Severity Scale'!$B$2)=0),"",F86/'Severity Scale'!$B$2)</x:f>
      </x:c>
      <x:c r="H86" s="7" t="n"/>
      <x:c r="I86" s="9" t="str">
        <x:f>IF(H86="","",IFERROR(INDEX('Severity Scale'!$B$5:$B$9,H86+1)&amp;" ("&amp;INDEX('Severity Scale'!$C$5:$C$9,H86+1)&amp;")",""))</x:f>
      </x:c>
      <x:c r="J86" s="7" t="n"/>
      <x:c r="K86" s="7" t="n"/>
      <x:c r="L86" s="7" t="n"/>
      <x:c r="M86" s="7" t="n"/>
      <x:c r="N86" s="7" t="n"/>
      <x:c r="O86" s="10" t="n"/>
      <x:c r="P86" s="7" t="n"/>
    </x:row>
    <x:row r="87">
      <x:c r="A87" s="7" t="n"/>
      <x:c r="B87" s="7" t="n"/>
      <x:c r="C87" s="7" t="n"/>
      <x:c r="D87" s="7" t="n"/>
      <x:c r="E87" s="7" t="n"/>
      <x:c r="F87" s="7" t="n"/>
      <x:c r="G87" s="8" t="str">
        <x:f>IF(OR(F87="",N('Severity Scale'!$B$2)=0),"",F87/'Severity Scale'!$B$2)</x:f>
      </x:c>
      <x:c r="H87" s="7" t="n"/>
      <x:c r="I87" s="9" t="str">
        <x:f>IF(H87="","",IFERROR(INDEX('Severity Scale'!$B$5:$B$9,H87+1)&amp;" ("&amp;INDEX('Severity Scale'!$C$5:$C$9,H87+1)&amp;")",""))</x:f>
      </x:c>
      <x:c r="J87" s="7" t="n"/>
      <x:c r="K87" s="7" t="n"/>
      <x:c r="L87" s="7" t="n"/>
      <x:c r="M87" s="7" t="n"/>
      <x:c r="N87" s="7" t="n"/>
      <x:c r="O87" s="10" t="n"/>
      <x:c r="P87" s="7" t="n"/>
    </x:row>
    <x:row r="88">
      <x:c r="A88" s="7" t="n"/>
      <x:c r="B88" s="7" t="n"/>
      <x:c r="C88" s="7" t="n"/>
      <x:c r="D88" s="7" t="n"/>
      <x:c r="E88" s="7" t="n"/>
      <x:c r="F88" s="7" t="n"/>
      <x:c r="G88" s="8" t="str">
        <x:f>IF(OR(F88="",N('Severity Scale'!$B$2)=0),"",F88/'Severity Scale'!$B$2)</x:f>
      </x:c>
      <x:c r="H88" s="7" t="n"/>
      <x:c r="I88" s="9" t="str">
        <x:f>IF(H88="","",IFERROR(INDEX('Severity Scale'!$B$5:$B$9,H88+1)&amp;" ("&amp;INDEX('Severity Scale'!$C$5:$C$9,H88+1)&amp;")",""))</x:f>
      </x:c>
      <x:c r="J88" s="7" t="n"/>
      <x:c r="K88" s="7" t="n"/>
      <x:c r="L88" s="7" t="n"/>
      <x:c r="M88" s="7" t="n"/>
      <x:c r="N88" s="7" t="n"/>
      <x:c r="O88" s="10" t="n"/>
      <x:c r="P88" s="7" t="n"/>
    </x:row>
    <x:row r="89">
      <x:c r="A89" s="7" t="n"/>
      <x:c r="B89" s="7" t="n"/>
      <x:c r="C89" s="7" t="n"/>
      <x:c r="D89" s="7" t="n"/>
      <x:c r="E89" s="7" t="n"/>
      <x:c r="F89" s="7" t="n"/>
      <x:c r="G89" s="8" t="str">
        <x:f>IF(OR(F89="",N('Severity Scale'!$B$2)=0),"",F89/'Severity Scale'!$B$2)</x:f>
      </x:c>
      <x:c r="H89" s="7" t="n"/>
      <x:c r="I89" s="9" t="str">
        <x:f>IF(H89="","",IFERROR(INDEX('Severity Scale'!$B$5:$B$9,H89+1)&amp;" ("&amp;INDEX('Severity Scale'!$C$5:$C$9,H89+1)&amp;")",""))</x:f>
      </x:c>
      <x:c r="J89" s="7" t="n"/>
      <x:c r="K89" s="7" t="n"/>
      <x:c r="L89" s="7" t="n"/>
      <x:c r="M89" s="7" t="n"/>
      <x:c r="N89" s="7" t="n"/>
      <x:c r="O89" s="10" t="n"/>
      <x:c r="P89" s="7" t="n"/>
    </x:row>
    <x:row r="90">
      <x:c r="A90" s="7" t="n"/>
      <x:c r="B90" s="7" t="n"/>
      <x:c r="C90" s="7" t="n"/>
      <x:c r="D90" s="7" t="n"/>
      <x:c r="E90" s="7" t="n"/>
      <x:c r="F90" s="7" t="n"/>
      <x:c r="G90" s="8" t="str">
        <x:f>IF(OR(F90="",N('Severity Scale'!$B$2)=0),"",F90/'Severity Scale'!$B$2)</x:f>
      </x:c>
      <x:c r="H90" s="7" t="n"/>
      <x:c r="I90" s="9" t="str">
        <x:f>IF(H90="","",IFERROR(INDEX('Severity Scale'!$B$5:$B$9,H90+1)&amp;" ("&amp;INDEX('Severity Scale'!$C$5:$C$9,H90+1)&amp;")",""))</x:f>
      </x:c>
      <x:c r="J90" s="7" t="n"/>
      <x:c r="K90" s="7" t="n"/>
      <x:c r="L90" s="7" t="n"/>
      <x:c r="M90" s="7" t="n"/>
      <x:c r="N90" s="7" t="n"/>
      <x:c r="O90" s="10" t="n"/>
      <x:c r="P90" s="7" t="n"/>
    </x:row>
    <x:row r="91">
      <x:c r="A91" s="7" t="n"/>
      <x:c r="B91" s="7" t="n"/>
      <x:c r="C91" s="7" t="n"/>
      <x:c r="D91" s="7" t="n"/>
      <x:c r="E91" s="7" t="n"/>
      <x:c r="F91" s="7" t="n"/>
      <x:c r="G91" s="8" t="str">
        <x:f>IF(OR(F91="",N('Severity Scale'!$B$2)=0),"",F91/'Severity Scale'!$B$2)</x:f>
      </x:c>
      <x:c r="H91" s="7" t="n"/>
      <x:c r="I91" s="9" t="str">
        <x:f>IF(H91="","",IFERROR(INDEX('Severity Scale'!$B$5:$B$9,H91+1)&amp;" ("&amp;INDEX('Severity Scale'!$C$5:$C$9,H91+1)&amp;")",""))</x:f>
      </x:c>
      <x:c r="J91" s="7" t="n"/>
      <x:c r="K91" s="7" t="n"/>
      <x:c r="L91" s="7" t="n"/>
      <x:c r="M91" s="7" t="n"/>
      <x:c r="N91" s="7" t="n"/>
      <x:c r="O91" s="10" t="n"/>
      <x:c r="P91" s="7" t="n"/>
    </x:row>
    <x:row r="92">
      <x:c r="A92" s="7" t="n"/>
      <x:c r="B92" s="7" t="n"/>
      <x:c r="C92" s="7" t="n"/>
      <x:c r="D92" s="7" t="n"/>
      <x:c r="E92" s="7" t="n"/>
      <x:c r="F92" s="7" t="n"/>
      <x:c r="G92" s="8" t="str">
        <x:f>IF(OR(F92="",N('Severity Scale'!$B$2)=0),"",F92/'Severity Scale'!$B$2)</x:f>
      </x:c>
      <x:c r="H92" s="7" t="n"/>
      <x:c r="I92" s="9" t="str">
        <x:f>IF(H92="","",IFERROR(INDEX('Severity Scale'!$B$5:$B$9,H92+1)&amp;" ("&amp;INDEX('Severity Scale'!$C$5:$C$9,H92+1)&amp;")",""))</x:f>
      </x:c>
      <x:c r="J92" s="7" t="n"/>
      <x:c r="K92" s="7" t="n"/>
      <x:c r="L92" s="7" t="n"/>
      <x:c r="M92" s="7" t="n"/>
      <x:c r="N92" s="7" t="n"/>
      <x:c r="O92" s="10" t="n"/>
      <x:c r="P92" s="7" t="n"/>
    </x:row>
    <x:row r="93">
      <x:c r="A93" s="7" t="n"/>
      <x:c r="B93" s="7" t="n"/>
      <x:c r="C93" s="7" t="n"/>
      <x:c r="D93" s="7" t="n"/>
      <x:c r="E93" s="7" t="n"/>
      <x:c r="F93" s="7" t="n"/>
      <x:c r="G93" s="8" t="str">
        <x:f>IF(OR(F93="",N('Severity Scale'!$B$2)=0),"",F93/'Severity Scale'!$B$2)</x:f>
      </x:c>
      <x:c r="H93" s="7" t="n"/>
      <x:c r="I93" s="9" t="str">
        <x:f>IF(H93="","",IFERROR(INDEX('Severity Scale'!$B$5:$B$9,H93+1)&amp;" ("&amp;INDEX('Severity Scale'!$C$5:$C$9,H93+1)&amp;")",""))</x:f>
      </x:c>
      <x:c r="J93" s="7" t="n"/>
      <x:c r="K93" s="7" t="n"/>
      <x:c r="L93" s="7" t="n"/>
      <x:c r="M93" s="7" t="n"/>
      <x:c r="N93" s="7" t="n"/>
      <x:c r="O93" s="10" t="n"/>
      <x:c r="P93" s="7" t="n"/>
    </x:row>
    <x:row r="94">
      <x:c r="A94" s="7" t="n"/>
      <x:c r="B94" s="7" t="n"/>
      <x:c r="C94" s="7" t="n"/>
      <x:c r="D94" s="7" t="n"/>
      <x:c r="E94" s="7" t="n"/>
      <x:c r="F94" s="7" t="n"/>
      <x:c r="G94" s="8" t="str">
        <x:f>IF(OR(F94="",N('Severity Scale'!$B$2)=0),"",F94/'Severity Scale'!$B$2)</x:f>
      </x:c>
      <x:c r="H94" s="7" t="n"/>
      <x:c r="I94" s="9" t="str">
        <x:f>IF(H94="","",IFERROR(INDEX('Severity Scale'!$B$5:$B$9,H94+1)&amp;" ("&amp;INDEX('Severity Scale'!$C$5:$C$9,H94+1)&amp;")",""))</x:f>
      </x:c>
      <x:c r="J94" s="7" t="n"/>
      <x:c r="K94" s="7" t="n"/>
      <x:c r="L94" s="7" t="n"/>
      <x:c r="M94" s="7" t="n"/>
      <x:c r="N94" s="7" t="n"/>
      <x:c r="O94" s="10" t="n"/>
      <x:c r="P94" s="7" t="n"/>
    </x:row>
    <x:row r="95">
      <x:c r="A95" s="7" t="n"/>
      <x:c r="B95" s="7" t="n"/>
      <x:c r="C95" s="7" t="n"/>
      <x:c r="D95" s="7" t="n"/>
      <x:c r="E95" s="7" t="n"/>
      <x:c r="F95" s="7" t="n"/>
      <x:c r="G95" s="8" t="str">
        <x:f>IF(OR(F95="",N('Severity Scale'!$B$2)=0),"",F95/'Severity Scale'!$B$2)</x:f>
      </x:c>
      <x:c r="H95" s="7" t="n"/>
      <x:c r="I95" s="9" t="str">
        <x:f>IF(H95="","",IFERROR(INDEX('Severity Scale'!$B$5:$B$9,H95+1)&amp;" ("&amp;INDEX('Severity Scale'!$C$5:$C$9,H95+1)&amp;")",""))</x:f>
      </x:c>
      <x:c r="J95" s="7" t="n"/>
      <x:c r="K95" s="7" t="n"/>
      <x:c r="L95" s="7" t="n"/>
      <x:c r="M95" s="7" t="n"/>
      <x:c r="N95" s="7" t="n"/>
      <x:c r="O95" s="10" t="n"/>
      <x:c r="P95" s="7" t="n"/>
    </x:row>
    <x:row r="96">
      <x:c r="A96" s="7" t="n"/>
      <x:c r="B96" s="7" t="n"/>
      <x:c r="C96" s="7" t="n"/>
      <x:c r="D96" s="7" t="n"/>
      <x:c r="E96" s="7" t="n"/>
      <x:c r="F96" s="7" t="n"/>
      <x:c r="G96" s="8" t="str">
        <x:f>IF(OR(F96="",N('Severity Scale'!$B$2)=0),"",F96/'Severity Scale'!$B$2)</x:f>
      </x:c>
      <x:c r="H96" s="7" t="n"/>
      <x:c r="I96" s="9" t="str">
        <x:f>IF(H96="","",IFERROR(INDEX('Severity Scale'!$B$5:$B$9,H96+1)&amp;" ("&amp;INDEX('Severity Scale'!$C$5:$C$9,H96+1)&amp;")",""))</x:f>
      </x:c>
      <x:c r="J96" s="7" t="n"/>
      <x:c r="K96" s="7" t="n"/>
      <x:c r="L96" s="7" t="n"/>
      <x:c r="M96" s="7" t="n"/>
      <x:c r="N96" s="7" t="n"/>
      <x:c r="O96" s="10" t="n"/>
      <x:c r="P96" s="7" t="n"/>
    </x:row>
    <x:row r="97">
      <x:c r="A97" s="7" t="n"/>
      <x:c r="B97" s="7" t="n"/>
      <x:c r="C97" s="7" t="n"/>
      <x:c r="D97" s="7" t="n"/>
      <x:c r="E97" s="7" t="n"/>
      <x:c r="F97" s="7" t="n"/>
      <x:c r="G97" s="8" t="str">
        <x:f>IF(OR(F97="",N('Severity Scale'!$B$2)=0),"",F97/'Severity Scale'!$B$2)</x:f>
      </x:c>
      <x:c r="H97" s="7" t="n"/>
      <x:c r="I97" s="9" t="str">
        <x:f>IF(H97="","",IFERROR(INDEX('Severity Scale'!$B$5:$B$9,H97+1)&amp;" ("&amp;INDEX('Severity Scale'!$C$5:$C$9,H97+1)&amp;")",""))</x:f>
      </x:c>
      <x:c r="J97" s="7" t="n"/>
      <x:c r="K97" s="7" t="n"/>
      <x:c r="L97" s="7" t="n"/>
      <x:c r="M97" s="7" t="n"/>
      <x:c r="N97" s="7" t="n"/>
      <x:c r="O97" s="10" t="n"/>
      <x:c r="P97" s="7" t="n"/>
    </x:row>
    <x:row r="98">
      <x:c r="A98" s="7" t="n"/>
      <x:c r="B98" s="7" t="n"/>
      <x:c r="C98" s="7" t="n"/>
      <x:c r="D98" s="7" t="n"/>
      <x:c r="E98" s="7" t="n"/>
      <x:c r="F98" s="7" t="n"/>
      <x:c r="G98" s="8" t="str">
        <x:f>IF(OR(F98="",N('Severity Scale'!$B$2)=0),"",F98/'Severity Scale'!$B$2)</x:f>
      </x:c>
      <x:c r="H98" s="7" t="n"/>
      <x:c r="I98" s="9" t="str">
        <x:f>IF(H98="","",IFERROR(INDEX('Severity Scale'!$B$5:$B$9,H98+1)&amp;" ("&amp;INDEX('Severity Scale'!$C$5:$C$9,H98+1)&amp;")",""))</x:f>
      </x:c>
      <x:c r="J98" s="7" t="n"/>
      <x:c r="K98" s="7" t="n"/>
      <x:c r="L98" s="7" t="n"/>
      <x:c r="M98" s="7" t="n"/>
      <x:c r="N98" s="7" t="n"/>
      <x:c r="O98" s="10" t="n"/>
      <x:c r="P98" s="7" t="n"/>
    </x:row>
    <x:row r="99">
      <x:c r="A99" s="7" t="n"/>
      <x:c r="B99" s="7" t="n"/>
      <x:c r="C99" s="7" t="n"/>
      <x:c r="D99" s="7" t="n"/>
      <x:c r="E99" s="7" t="n"/>
      <x:c r="F99" s="7" t="n"/>
      <x:c r="G99" s="8" t="str">
        <x:f>IF(OR(F99="",N('Severity Scale'!$B$2)=0),"",F99/'Severity Scale'!$B$2)</x:f>
      </x:c>
      <x:c r="H99" s="7" t="n"/>
      <x:c r="I99" s="9" t="str">
        <x:f>IF(H99="","",IFERROR(INDEX('Severity Scale'!$B$5:$B$9,H99+1)&amp;" ("&amp;INDEX('Severity Scale'!$C$5:$C$9,H99+1)&amp;")",""))</x:f>
      </x:c>
      <x:c r="J99" s="7" t="n"/>
      <x:c r="K99" s="7" t="n"/>
      <x:c r="L99" s="7" t="n"/>
      <x:c r="M99" s="7" t="n"/>
      <x:c r="N99" s="7" t="n"/>
      <x:c r="O99" s="10" t="n"/>
      <x:c r="P99" s="7" t="n"/>
    </x:row>
    <x:row r="100">
      <x:c r="A100" s="7" t="n"/>
      <x:c r="B100" s="7" t="n"/>
      <x:c r="C100" s="7" t="n"/>
      <x:c r="D100" s="7" t="n"/>
      <x:c r="E100" s="7" t="n"/>
      <x:c r="F100" s="7" t="n"/>
      <x:c r="G100" s="8" t="str">
        <x:f>IF(OR(F100="",N('Severity Scale'!$B$2)=0),"",F100/'Severity Scale'!$B$2)</x:f>
      </x:c>
      <x:c r="H100" s="7" t="n"/>
      <x:c r="I100" s="9" t="str">
        <x:f>IF(H100="","",IFERROR(INDEX('Severity Scale'!$B$5:$B$9,H100+1)&amp;" ("&amp;INDEX('Severity Scale'!$C$5:$C$9,H100+1)&amp;")",""))</x:f>
      </x:c>
      <x:c r="J100" s="7" t="n"/>
      <x:c r="K100" s="7" t="n"/>
      <x:c r="L100" s="7" t="n"/>
      <x:c r="M100" s="7" t="n"/>
      <x:c r="N100" s="7" t="n"/>
      <x:c r="O100" s="10" t="n"/>
      <x:c r="P100" s="7" t="n"/>
    </x:row>
  </x:sheetData>
  <x:dataValidations count="8">
    <x:dataValidation type="list" allowBlank="1" showDropDown="0" showInputMessage="0" showErrorMessage="1" errorTitle="Invalid value" error="Pick a value from the drop-down list." sqref="B2:B100">
      <x:formula1>=Lists!$B$2:$B$7</x:formula1>
    </x:dataValidation>
    <x:dataValidation type="list" allowBlank="1" showDropDown="0" showInputMessage="0" showErrorMessage="1" errorTitle="Invalid value" error="Pick a value from the drop-down list." sqref="C2:C100">
      <x:formula1>=Lists!$H$2:$H$5</x:formula1>
    </x:dataValidation>
    <x:dataValidation type="list" allowBlank="1" showDropDown="0" showInputMessage="0" showErrorMessage="1" errorTitle="Invalid value" error="Pick a value from the drop-down list." sqref="H2:H100">
      <x:formula1>"0,1,2,3,4"</x:formula1>
    </x:dataValidation>
    <x:dataValidation type="list" allowBlank="1" showDropDown="0" showInputMessage="0" showErrorMessage="1" errorTitle="Invalid value" error="Pick a value from the drop-down list." sqref="J2:J100">
      <x:formula1>=Lists!$D$2:$D$6</x:formula1>
    </x:dataValidation>
    <x:dataValidation type="list" allowBlank="1" showDropDown="0" showInputMessage="0" showErrorMessage="1" errorTitle="Invalid value" error="Pick a value from the drop-down list." sqref="K2:K100">
      <x:formula1>=Lists!$E$2:$E$5</x:formula1>
    </x:dataValidation>
    <x:dataValidation type="list" allowBlank="1" showDropDown="0" showInputMessage="0" showErrorMessage="1" errorTitle="Invalid value" error="Pick a value from the drop-down list." sqref="M2:M100">
      <x:formula1>=Lists!$F$2:$F$7</x:formula1>
    </x:dataValidation>
    <x:dataValidation type="list" allowBlank="1" showDropDown="0" showInputMessage="0" showErrorMessage="1" errorTitle="Invalid value" error="Pick a value from the drop-down list." sqref="N2:N100">
      <x:formula1>=Lists!$G$2:$G$7</x:formula1>
    </x:dataValidation>
    <x:dataValidation type="whole" operator="greaterThanOrEqual" allowBlank="1" showDropDown="0" showInputMessage="0" showErrorMessage="1" errorTitle="Invalid number" error="Whole number of participants affected." sqref="F2:F100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40" customWidth="1"/>
    <x:col min="3" max="3" width="18" customWidth="1"/>
    <x:col min="4" max="4" width="90" customWidth="1"/>
  </x:cols>
  <x:sheetData>
    <x:row r="1">
      <x:c r="A1" s="1" t="inlineStr">
        <x:is>
          <x:t xml:space="preserve">Severity scale and participant count</x:t>
        </x:is>
      </x:c>
    </x:row>
    <x:row r="2">
      <x:c r="A2" s="3" t="inlineStr">
        <x:is>
          <x:t xml:space="preserve">Participants tested (N)</x:t>
        </x:is>
      </x:c>
      <x:c r="B2" s="11" t="n">
        <x:v>5</x:v>
      </x:c>
      <x:c r="C2" s="12" t="inlineStr">
        <x:is>
          <x:t xml:space="preserve">Denominator for 'Frequency'. Type the number of participants who completed a session.</x:t>
        </x:is>
      </x:c>
    </x:row>
    <x:row r="4" ht="42" customHeight="1">
      <x:c r="A4" s="6" t="inlineStr">
        <x:is>
          <x:t xml:space="preserve">Level</x:t>
        </x:is>
      </x:c>
      <x:c r="B4" s="6" t="inlineStr">
        <x:is>
          <x:t xml:space="preserve">Nielsen label (PDF §9.3: Nielsen 0-4)</x:t>
        </x:is>
      </x:c>
      <x:c r="C4" s="6" t="inlineStr">
        <x:is>
          <x:t xml:space="preserve">Low / Medium / High</x:t>
        </x:is>
      </x:c>
      <x:c r="D4" s="6" t="inlineStr">
        <x:is>
          <x:t xml:space="preserve">How it is assigned</x:t>
        </x:is>
      </x:c>
    </x:row>
    <x:row r="5">
      <x:c r="A5" s="13" t="n">
        <x:v>0</x:v>
      </x:c>
      <x:c r="B5" s="13" t="inlineStr">
        <x:is>
          <x:t xml:space="preserve">Not a usability problem</x:t>
        </x:is>
      </x:c>
      <x:c r="C5" s="13" t="inlineStr">
        <x:is>
          <x:t xml:space="preserve">None</x:t>
        </x:is>
      </x:c>
      <x:c r="D5" s="13" t="inlineStr">
        <x:is>
          <x:t xml:space="preserve">Disagreement among evaluators; no effect on any participant.</x:t>
        </x:is>
      </x:c>
    </x:row>
    <x:row r="6">
      <x:c r="A6" s="13" t="n">
        <x:v>1</x:v>
      </x:c>
      <x:c r="B6" s="13" t="inlineStr">
        <x:is>
          <x:t xml:space="preserve">Cosmetic problem</x:t>
        </x:is>
      </x:c>
      <x:c r="C6" s="13" t="inlineStr">
        <x:is>
          <x:t xml:space="preserve">Low</x:t>
        </x:is>
      </x:c>
      <x:c r="D6" s="13" t="inlineStr">
        <x:is>
          <x:t xml:space="preserve">Noticed by participants but caused no error, delay or comment about difficulty.</x:t>
        </x:is>
      </x:c>
    </x:row>
    <x:row r="7">
      <x:c r="A7" s="13" t="n">
        <x:v>2</x:v>
      </x:c>
      <x:c r="B7" s="13" t="inlineStr">
        <x:is>
          <x:t xml:space="preserve">Minor problem</x:t>
        </x:is>
      </x:c>
      <x:c r="C7" s="13" t="inlineStr">
        <x:is>
          <x:t xml:space="preserve">Medium</x:t>
        </x:is>
      </x:c>
      <x:c r="D7" s="13" t="inlineStr">
        <x:is>
          <x:t xml:space="preserve">Caused hesitation, a wrong tap or a recovery without help; low priority to fix.</x:t>
        </x:is>
      </x:c>
    </x:row>
    <x:row r="8">
      <x:c r="A8" s="13" t="n">
        <x:v>3</x:v>
      </x:c>
      <x:c r="B8" s="13" t="inlineStr">
        <x:is>
          <x:t xml:space="preserve">Major problem</x:t>
        </x:is>
      </x:c>
      <x:c r="C8" s="13" t="inlineStr">
        <x:is>
          <x:t xml:space="preserve">High</x:t>
        </x:is>
      </x:c>
      <x:c r="D8" s="13" t="inlineStr">
        <x:is>
          <x:t xml:space="preserve">Needed assistance, or many participants made errors; important to fix before release.</x:t>
        </x:is>
      </x:c>
    </x:row>
    <x:row r="9">
      <x:c r="A9" s="13" t="n">
        <x:v>4</x:v>
      </x:c>
      <x:c r="B9" s="13" t="inlineStr">
        <x:is>
          <x:t xml:space="preserve">Usability catastrophe</x:t>
        </x:is>
      </x:c>
      <x:c r="C9" s="13" t="inlineStr">
        <x:is>
          <x:t xml:space="preserve">High</x:t>
        </x:is>
      </x:c>
      <x:c r="D9" s="13" t="inlineStr">
        <x:is>
          <x:t xml:space="preserve">Prevented task completion for one or more participants; must be fixed.</x:t>
        </x:is>
      </x:c>
    </x:row>
    <x:row r="11">
      <x:c r="A11" s="14" t="inlineStr">
        <x:is>
          <x:t xml:space="preserve">Rate by combining three factors (Nielsen): how often it happens, how big the impact is when it happens, and whether people can get past it once they know.</x:t>
        </x:is>
      </x:c>
    </x:row>
    <x:row r="12">
      <x:c r="A12" s="14" t="inlineStr">
        <x:is>
          <x:t xml:space="preserve">Frequency alone never sets severity: one participant who could not finish a task is still level 4 for that participant; say so in the description.</x:t>
        </x:is>
      </x:c>
    </x:row>
    <x:row r="13">
      <x:c r="A13" s="14" t="inlineStr">
        <x:is>
          <x:t xml:space="preserve">Candidate rows (ID CAND-nn) come from reading the code, not from watching people. They stay 'Needs verification' with no severity until observed.</x:t>
        </x:is>
      </x:c>
    </x:row>
    <x:row r="14">
      <x:c r="A14" s="14" t="inlineStr">
        <x:is>
          <x:t xml:space="preserve">With n = 5 to 8, report counts (e.g. 3/6) rather than percentages, and state the small-sample caveat (PDF §9.3).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9" customWidth="1"/>
    <x:col min="2" max="2" width="30" customWidth="1"/>
    <x:col min="3" max="3" width="62" customWidth="1"/>
    <x:col min="4" max="4" width="46" customWidth="1"/>
    <x:col min="5" max="5" width="20" customWidth="1"/>
  </x:cols>
  <x:sheetData>
    <x:row r="1" ht="42" customHeight="1">
      <x:c r="A1" s="6" t="inlineStr">
        <x:is>
          <x:t xml:space="preserve">Task ID</x:t>
        </x:is>
      </x:c>
      <x:c r="B1" s="6" t="inlineStr">
        <x:is>
          <x:t xml:space="preserve">Title</x:t>
        </x:is>
      </x:c>
      <x:c r="C1" s="6" t="inlineStr">
        <x:is>
          <x:t xml:space="preserve">Scenario given to participant (PDF Table 15, abridged)</x:t>
        </x:is>
      </x:c>
      <x:c r="D1" s="6" t="inlineStr">
        <x:is>
          <x:t xml:space="preserve">Success criterion (PDF Table 15)</x:t>
        </x:is>
      </x:c>
      <x:c r="E1" s="6" t="inlineStr">
        <x:is>
          <x:t xml:space="preserve">Reqs / issue</x:t>
        </x:is>
      </x:c>
    </x:row>
    <x:row r="2">
      <x:c r="A2" s="13" t="inlineStr">
        <x:is>
          <x:t xml:space="preserve">T1</x:t>
        </x:is>
      </x:c>
      <x:c r="B2" s="13" t="inlineStr">
        <x:is>
          <x:t xml:space="preserve">Sign in</x:t>
        </x:is>
      </x:c>
      <x:c r="C2" s="13" t="inlineStr">
        <x:is>
          <x:t xml:space="preserve">You are new to DonorLink. Sign in with the test account you were given.</x:t>
        </x:is>
      </x:c>
      <x:c r="D2" s="13" t="inlineStr">
        <x:is>
          <x:t xml:space="preserve">Reaches Home without help</x:t>
        </x:is>
      </x:c>
      <x:c r="E2" s="13" t="inlineStr">
        <x:is>
          <x:t xml:space="preserve">NFR08</x:t>
        </x:is>
      </x:c>
    </x:row>
    <x:row r="3">
      <x:c r="A3" s="13" t="inlineStr">
        <x:is>
          <x:t xml:space="preserve">T2</x:t>
        </x:is>
      </x:c>
      <x:c r="B3" s="13" t="inlineStr">
        <x:is>
          <x:t xml:space="preserve">Create emergency request</x:t>
        </x:is>
      </x:c>
      <x:c r="C3" s="13" t="inlineStr">
        <x:is>
          <x:t xml:space="preserve">Your uncle needs 2 units of O+ blood urgently at a hospital in Colombo. Ask for help using the app.</x:t>
        </x:is>
      </x:c>
      <x:c r="D3" s="13" t="inlineStr">
        <x:is>
          <x:t xml:space="preserve">Request submitted and listed as waiting for verification</x:t>
        </x:is>
      </x:c>
      <x:c r="E3" s="13" t="inlineStr">
        <x:is>
          <x:t xml:space="preserve">FR01, NFR01</x:t>
        </x:is>
      </x:c>
    </x:row>
    <x:row r="4">
      <x:c r="A4" s="13" t="inlineStr">
        <x:is>
          <x:t xml:space="preserve">T3</x:t>
        </x:is>
      </x:c>
      <x:c r="B4" s="13" t="inlineStr">
        <x:is>
          <x:t xml:space="preserve">Check status and response count</x:t>
        </x:is>
      </x:c>
      <x:c r="C4" s="13" t="inlineStr">
        <x:is>
          <x:t xml:space="preserve">Find out whether your request has been verified and how many donors have responded.</x:t>
        </x:is>
      </x:c>
      <x:c r="D4" s="13" t="inlineStr">
        <x:is>
          <x:t xml:space="preserve">States the correct status and response count</x:t>
        </x:is>
      </x:c>
      <x:c r="E4" s="13" t="inlineStr">
        <x:is>
          <x:t xml:space="preserve">FR03, FR07, UI-03</x:t>
        </x:is>
      </x:c>
    </x:row>
    <x:row r="5">
      <x:c r="A5" s="13" t="inlineStr">
        <x:is>
          <x:t xml:space="preserve">T4</x:t>
        </x:is>
      </x:c>
      <x:c r="B5" s="13" t="inlineStr">
        <x:is>
          <x:t xml:space="preserve">Set donor availability</x:t>
        </x:is>
      </x:c>
      <x:c r="C5" s="13" t="inlineStr">
        <x:is>
          <x:t xml:space="preserve">You can donate today until 6 pm. Make sure the app knows this.</x:t>
        </x:is>
      </x:c>
      <x:c r="D5" s="13" t="inlineStr">
        <x:is>
          <x:t xml:space="preserve">Availability set to available with an end time</x:t>
        </x:is>
      </x:c>
      <x:c r="E5" s="13" t="inlineStr">
        <x:is>
          <x:t xml:space="preserve">FR04, UI-01</x:t>
        </x:is>
      </x:c>
    </x:row>
    <x:row r="6">
      <x:c r="A6" s="13" t="inlineStr">
        <x:is>
          <x:t xml:space="preserve">T5</x:t>
        </x:is>
      </x:c>
      <x:c r="B6" s="13" t="inlineStr">
        <x:is>
          <x:t xml:space="preserve">Respond to an alert</x:t>
        </x:is>
      </x:c>
      <x:c r="C6" s="13" t="inlineStr">
        <x:is>
          <x:t xml:space="preserve">You received an alert asking for your blood group. Look at it and agree to donate.</x:t>
        </x:is>
      </x:c>
      <x:c r="D6" s="13" t="inlineStr">
        <x:is>
          <x:t xml:space="preserve">Opens the alert and accepts the right request</x:t>
        </x:is>
      </x:c>
      <x:c r="E6" s="13" t="inlineStr">
        <x:is>
          <x:t xml:space="preserve">FR05, FR06, UI-05</x:t>
        </x:is>
      </x:c>
    </x:row>
    <x:row r="7">
      <x:c r="A7" s="13" t="inlineStr">
        <x:is>
          <x:t xml:space="preserve">T6</x:t>
        </x:is>
      </x:c>
      <x:c r="B7" s="13" t="inlineStr">
        <x:is>
          <x:t xml:space="preserve">Find history</x:t>
        </x:is>
      </x:c>
      <x:c r="C7" s="13" t="inlineStr">
        <x:is>
          <x:t xml:space="preserve">Find your donation and request history.</x:t>
        </x:is>
      </x:c>
      <x:c r="D7" s="13" t="inlineStr">
        <x:is>
          <x:t xml:space="preserve">History opened and a past record identified</x:t>
        </x:is>
      </x:c>
      <x:c r="E7" s="13" t="inlineStr">
        <x:is>
          <x:t xml:space="preserve">FR10, UI-04</x:t>
        </x:is>
      </x:c>
    </x:row>
    <x:row r="9">
      <x:c r="A9" s="12" t="inlineStr">
        <x:is>
          <x:t xml:space="preserve">Source: IT3060 Milestones 01-03 Final Report, Table 15. Full facilitator wording and observable criteria: task-scenarios.md and task-success-criteria.md.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34" customWidth="1"/>
    <x:col min="3" max="3" width="34" customWidth="1"/>
    <x:col min="4" max="4" width="34" customWidth="1"/>
    <x:col min="5" max="5" width="34" customWidth="1"/>
    <x:col min="6" max="6" width="34" customWidth="1"/>
    <x:col min="7" max="7" width="34" customWidth="1"/>
    <x:col min="8" max="8" width="34" customWidth="1"/>
  </x:cols>
  <x:sheetData>
    <x:row r="1">
      <x:c r="A1" s="3" t="inlineStr">
        <x:is>
          <x:t xml:space="preserve">Outcomes</x:t>
        </x:is>
      </x:c>
      <x:c r="B1" s="3" t="inlineStr">
        <x:is>
          <x:t xml:space="preserve">Task IDs</x:t>
        </x:is>
      </x:c>
      <x:c r="C1" s="3" t="inlineStr">
        <x:is>
          <x:t xml:space="preserve">Environment</x:t>
        </x:is>
      </x:c>
      <x:c r="D1" s="3" t="inlineStr">
        <x:is>
          <x:t xml:space="preserve">Impact</x:t>
        </x:is>
      </x:c>
      <x:c r="E1" s="3" t="inlineStr">
        <x:is>
          <x:t xml:space="preserve">Reproducibility</x:t>
        </x:is>
      </x:c>
      <x:c r="F1" s="3" t="inlineStr">
        <x:is>
          <x:t xml:space="preserve">Status</x:t>
        </x:is>
      </x:c>
      <x:c r="G1" s="3" t="inlineStr">
        <x:is>
          <x:t xml:space="preserve">Prototype issue</x:t>
        </x:is>
      </x:c>
      <x:c r="H1" s="3" t="inlineStr">
        <x:is>
          <x:t xml:space="preserve">Source</x:t>
        </x:is>
      </x:c>
    </x:row>
    <x:row r="2">
      <x:c r="A2" s="14" t="inlineStr">
        <x:is>
          <x:t xml:space="preserve">Completed unaided</x:t>
        </x:is>
      </x:c>
      <x:c r="B2" s="14" t="inlineStr">
        <x:is>
          <x:t xml:space="preserve">T1</x:t>
        </x:is>
      </x:c>
      <x:c r="C2" s="14" t="inlineStr">
        <x:is>
          <x:t xml:space="preserve">Android physical device</x:t>
        </x:is>
      </x:c>
      <x:c r="D2" s="14" t="inlineStr">
        <x:is>
          <x:t xml:space="preserve">None</x:t>
        </x:is>
      </x:c>
      <x:c r="E2" s="14" t="inlineStr">
        <x:is>
          <x:t xml:space="preserve">Always</x:t>
        </x:is>
      </x:c>
      <x:c r="F2" s="14" t="inlineStr">
        <x:is>
          <x:t xml:space="preserve">Needs verification</x:t>
        </x:is>
      </x:c>
      <x:c r="G2" s="14" t="inlineStr">
        <x:is>
          <x:t xml:space="preserve">None</x:t>
        </x:is>
      </x:c>
      <x:c r="H2" s="14" t="inlineStr">
        <x:is>
          <x:t xml:space="preserve">Observed in participant session</x:t>
        </x:is>
      </x:c>
    </x:row>
    <x:row r="3">
      <x:c r="A3" s="14" t="inlineStr">
        <x:is>
          <x:t xml:space="preserve">Completed with assistance</x:t>
        </x:is>
      </x:c>
      <x:c r="B3" s="14" t="inlineStr">
        <x:is>
          <x:t xml:space="preserve">T2</x:t>
        </x:is>
      </x:c>
      <x:c r="C3" s="14" t="inlineStr">
        <x:is>
          <x:t xml:space="preserve">Android emulator</x:t>
        </x:is>
      </x:c>
      <x:c r="D3" s="14" t="inlineStr">
        <x:is>
          <x:t xml:space="preserve">Slowed participant</x:t>
        </x:is>
      </x:c>
      <x:c r="E3" s="14" t="inlineStr">
        <x:is>
          <x:t xml:space="preserve">Sometimes</x:t>
        </x:is>
      </x:c>
      <x:c r="F3" s="14" t="inlineStr">
        <x:is>
          <x:t xml:space="preserve">Confirmed</x:t>
        </x:is>
      </x:c>
      <x:c r="G3" s="14" t="inlineStr">
        <x:is>
          <x:t xml:space="preserve">UI-01</x:t>
        </x:is>
      </x:c>
      <x:c r="H3" s="14" t="inlineStr">
        <x:is>
          <x:t xml:space="preserve">Automated test</x:t>
        </x:is>
      </x:c>
    </x:row>
    <x:row r="4">
      <x:c r="A4" s="14" t="inlineStr">
        <x:is>
          <x:t xml:space="preserve">Abandoned</x:t>
        </x:is>
      </x:c>
      <x:c r="B4" s="14" t="inlineStr">
        <x:is>
          <x:t xml:space="preserve">T3</x:t>
        </x:is>
      </x:c>
      <x:c r="C4" s="14" t="inlineStr">
        <x:is>
          <x:t xml:space="preserve">Expo web preview</x:t>
        </x:is>
      </x:c>
      <x:c r="D4" s="14" t="inlineStr">
        <x:is>
          <x:t xml:space="preserve">Caused errors</x:t>
        </x:is>
      </x:c>
      <x:c r="E4" s="14" t="inlineStr">
        <x:is>
          <x:t xml:space="preserve">Once only</x:t>
        </x:is>
      </x:c>
      <x:c r="F4" s="14" t="inlineStr">
        <x:is>
          <x:t xml:space="preserve">Fixed - awaiting re-test</x:t>
        </x:is>
      </x:c>
      <x:c r="G4" s="14" t="inlineStr">
        <x:is>
          <x:t xml:space="preserve">UI-02</x:t>
        </x:is>
      </x:c>
      <x:c r="H4" s="14" t="inlineStr">
        <x:is>
          <x:t xml:space="preserve">Code inspection (not yet observed)</x:t>
        </x:is>
      </x:c>
    </x:row>
    <x:row r="5">
      <x:c r="A5" s="14" t="inlineStr">
        <x:is>
          <x:t xml:space="preserve">Application-blocked</x:t>
        </x:is>
      </x:c>
      <x:c r="B5" s="14" t="inlineStr">
        <x:is>
          <x:t xml:space="preserve">T4</x:t>
        </x:is>
      </x:c>
      <x:c r="C5" s="14" t="inlineStr">
        <x:is>
          <x:t xml:space="preserve">Other (note below)</x:t>
        </x:is>
      </x:c>
      <x:c r="D5" s="14" t="inlineStr">
        <x:is>
          <x:t xml:space="preserve">Required assistance</x:t>
        </x:is>
      </x:c>
      <x:c r="E5" s="14" t="inlineStr">
        <x:is>
          <x:t xml:space="preserve">Not reproduced</x:t>
        </x:is>
      </x:c>
      <x:c r="F5" s="14" t="inlineStr">
        <x:is>
          <x:t xml:space="preserve">Fixed - verified</x:t>
        </x:is>
      </x:c>
      <x:c r="G5" s="14" t="inlineStr">
        <x:is>
          <x:t xml:space="preserve">UI-03</x:t>
        </x:is>
      </x:c>
      <x:c r="H5" s="14" t="inlineStr">
        <x:is>
          <x:t xml:space="preserve">Facilitator observation (no participant)</x:t>
        </x:is>
      </x:c>
    </x:row>
    <x:row r="6">
      <x:c r="A6" s="14" t="inlineStr">
        <x:is>
          <x:t xml:space="preserve">Not attempted</x:t>
        </x:is>
      </x:c>
      <x:c r="B6" s="14" t="inlineStr">
        <x:is>
          <x:t xml:space="preserve">T5</x:t>
        </x:is>
      </x:c>
      <x:c r="D6" s="14" t="inlineStr">
        <x:is>
          <x:t xml:space="preserve">Prevented completion</x:t>
        </x:is>
      </x:c>
      <x:c r="F6" s="14" t="inlineStr">
        <x:is>
          <x:t xml:space="preserve">Won't fix</x:t>
        </x:is>
      </x:c>
      <x:c r="G6" s="14" t="inlineStr">
        <x:is>
          <x:t xml:space="preserve">UI-04</x:t>
        </x:is>
      </x:c>
    </x:row>
    <x:row r="7">
      <x:c r="B7" s="14" t="inlineStr">
        <x:is>
          <x:t xml:space="preserve">T6</x:t>
        </x:is>
      </x:c>
      <x:c r="F7" s="14" t="inlineStr">
        <x:is>
          <x:t xml:space="preserve">Duplicate</x:t>
        </x:is>
      </x:c>
      <x:c r="G7" s="14" t="inlineStr">
        <x:is>
          <x:t xml:space="preserve">UI-05</x:t>
        </x:is>
      </x:c>
    </x:row>
  </x:sheetData>
  <x:pageMargins left="0.7" right="0.7" top="0.75" bottom="0.75" header="0.3" footer="0.3"/>
</x:worksheet>
</file>