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ali\Documents\Projects\reactnative\DonorLink\testing\usability\"/>
    </mc:Choice>
  </mc:AlternateContent>
  <xr:revisionPtr revIDLastSave="0" documentId="11_C07A9EF8B6056BE3F2BC619986471FC57E4DE863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Legend" sheetId="1" r:id="rId1"/>
    <sheet name="Summary" sheetId="2" r:id="rId2"/>
    <sheet name="Task Metrics" sheetId="3" r:id="rId3"/>
    <sheet name="Table 16" sheetId="4" r:id="rId4"/>
    <sheet name="Charts" sheetId="5" r:id="rId5"/>
    <sheet name="Sessions" sheetId="6" r:id="rId6"/>
    <sheet name="Observations" sheetId="7" r:id="rId7"/>
    <sheet name="SUS" sheetId="8" r:id="rId8"/>
    <sheet name="Issues" sheetId="9" r:id="rId9"/>
    <sheet name="Severity Scale" sheetId="10" r:id="rId10"/>
    <sheet name="Tasks" sheetId="11" r:id="rId11"/>
    <sheet name="List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9" l="1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4" i="8"/>
  <c r="L4" i="8"/>
  <c r="M3" i="8"/>
  <c r="L3" i="8"/>
  <c r="M2" i="8"/>
  <c r="L2" i="8"/>
  <c r="H200" i="7"/>
  <c r="J200" i="7" s="1"/>
  <c r="D200" i="7"/>
  <c r="B200" i="7"/>
  <c r="H199" i="7"/>
  <c r="J199" i="7" s="1"/>
  <c r="D199" i="7"/>
  <c r="B199" i="7"/>
  <c r="H198" i="7"/>
  <c r="J198" i="7" s="1"/>
  <c r="D198" i="7"/>
  <c r="B198" i="7"/>
  <c r="H197" i="7"/>
  <c r="J197" i="7" s="1"/>
  <c r="D197" i="7"/>
  <c r="B197" i="7"/>
  <c r="H196" i="7"/>
  <c r="J196" i="7" s="1"/>
  <c r="D196" i="7"/>
  <c r="B196" i="7"/>
  <c r="H195" i="7"/>
  <c r="J195" i="7" s="1"/>
  <c r="D195" i="7"/>
  <c r="B195" i="7"/>
  <c r="H194" i="7"/>
  <c r="J194" i="7" s="1"/>
  <c r="D194" i="7"/>
  <c r="B194" i="7"/>
  <c r="H193" i="7"/>
  <c r="J193" i="7" s="1"/>
  <c r="D193" i="7"/>
  <c r="B193" i="7"/>
  <c r="H192" i="7"/>
  <c r="J192" i="7" s="1"/>
  <c r="D192" i="7"/>
  <c r="B192" i="7"/>
  <c r="H191" i="7"/>
  <c r="J191" i="7" s="1"/>
  <c r="D191" i="7"/>
  <c r="B191" i="7"/>
  <c r="H190" i="7"/>
  <c r="J190" i="7" s="1"/>
  <c r="D190" i="7"/>
  <c r="B190" i="7"/>
  <c r="H189" i="7"/>
  <c r="J189" i="7" s="1"/>
  <c r="D189" i="7"/>
  <c r="B189" i="7"/>
  <c r="H188" i="7"/>
  <c r="J188" i="7" s="1"/>
  <c r="D188" i="7"/>
  <c r="B188" i="7"/>
  <c r="H187" i="7"/>
  <c r="J187" i="7" s="1"/>
  <c r="D187" i="7"/>
  <c r="B187" i="7"/>
  <c r="H186" i="7"/>
  <c r="J186" i="7" s="1"/>
  <c r="D186" i="7"/>
  <c r="B186" i="7"/>
  <c r="H185" i="7"/>
  <c r="J185" i="7" s="1"/>
  <c r="D185" i="7"/>
  <c r="B185" i="7"/>
  <c r="H184" i="7"/>
  <c r="J184" i="7" s="1"/>
  <c r="D184" i="7"/>
  <c r="B184" i="7"/>
  <c r="H183" i="7"/>
  <c r="J183" i="7" s="1"/>
  <c r="D183" i="7"/>
  <c r="B183" i="7"/>
  <c r="H182" i="7"/>
  <c r="J182" i="7" s="1"/>
  <c r="D182" i="7"/>
  <c r="B182" i="7"/>
  <c r="H181" i="7"/>
  <c r="J181" i="7" s="1"/>
  <c r="D181" i="7"/>
  <c r="B181" i="7"/>
  <c r="H180" i="7"/>
  <c r="J180" i="7" s="1"/>
  <c r="D180" i="7"/>
  <c r="B180" i="7"/>
  <c r="H179" i="7"/>
  <c r="J179" i="7" s="1"/>
  <c r="D179" i="7"/>
  <c r="B179" i="7"/>
  <c r="H178" i="7"/>
  <c r="J178" i="7" s="1"/>
  <c r="D178" i="7"/>
  <c r="B178" i="7"/>
  <c r="H177" i="7"/>
  <c r="J177" i="7" s="1"/>
  <c r="D177" i="7"/>
  <c r="B177" i="7"/>
  <c r="H176" i="7"/>
  <c r="J176" i="7" s="1"/>
  <c r="D176" i="7"/>
  <c r="B176" i="7"/>
  <c r="H175" i="7"/>
  <c r="J175" i="7" s="1"/>
  <c r="D175" i="7"/>
  <c r="B175" i="7"/>
  <c r="H174" i="7"/>
  <c r="J174" i="7" s="1"/>
  <c r="D174" i="7"/>
  <c r="B174" i="7"/>
  <c r="H173" i="7"/>
  <c r="J173" i="7" s="1"/>
  <c r="D173" i="7"/>
  <c r="B173" i="7"/>
  <c r="H172" i="7"/>
  <c r="J172" i="7" s="1"/>
  <c r="D172" i="7"/>
  <c r="B172" i="7"/>
  <c r="H171" i="7"/>
  <c r="J171" i="7" s="1"/>
  <c r="D171" i="7"/>
  <c r="B171" i="7"/>
  <c r="H170" i="7"/>
  <c r="J170" i="7" s="1"/>
  <c r="D170" i="7"/>
  <c r="B170" i="7"/>
  <c r="H169" i="7"/>
  <c r="J169" i="7" s="1"/>
  <c r="D169" i="7"/>
  <c r="B169" i="7"/>
  <c r="H168" i="7"/>
  <c r="J168" i="7" s="1"/>
  <c r="D168" i="7"/>
  <c r="B168" i="7"/>
  <c r="H167" i="7"/>
  <c r="J167" i="7" s="1"/>
  <c r="D167" i="7"/>
  <c r="B167" i="7"/>
  <c r="H166" i="7"/>
  <c r="J166" i="7" s="1"/>
  <c r="D166" i="7"/>
  <c r="B166" i="7"/>
  <c r="H165" i="7"/>
  <c r="J165" i="7" s="1"/>
  <c r="D165" i="7"/>
  <c r="B165" i="7"/>
  <c r="H164" i="7"/>
  <c r="J164" i="7" s="1"/>
  <c r="D164" i="7"/>
  <c r="B164" i="7"/>
  <c r="H163" i="7"/>
  <c r="J163" i="7" s="1"/>
  <c r="D163" i="7"/>
  <c r="B163" i="7"/>
  <c r="H162" i="7"/>
  <c r="J162" i="7" s="1"/>
  <c r="D162" i="7"/>
  <c r="B162" i="7"/>
  <c r="H161" i="7"/>
  <c r="J161" i="7" s="1"/>
  <c r="D161" i="7"/>
  <c r="B161" i="7"/>
  <c r="H160" i="7"/>
  <c r="J160" i="7" s="1"/>
  <c r="D160" i="7"/>
  <c r="B160" i="7"/>
  <c r="H159" i="7"/>
  <c r="J159" i="7" s="1"/>
  <c r="D159" i="7"/>
  <c r="B159" i="7"/>
  <c r="H158" i="7"/>
  <c r="J158" i="7" s="1"/>
  <c r="D158" i="7"/>
  <c r="B158" i="7"/>
  <c r="H157" i="7"/>
  <c r="J157" i="7" s="1"/>
  <c r="D157" i="7"/>
  <c r="B157" i="7"/>
  <c r="H156" i="7"/>
  <c r="J156" i="7" s="1"/>
  <c r="D156" i="7"/>
  <c r="B156" i="7"/>
  <c r="H155" i="7"/>
  <c r="J155" i="7" s="1"/>
  <c r="D155" i="7"/>
  <c r="B155" i="7"/>
  <c r="H154" i="7"/>
  <c r="J154" i="7" s="1"/>
  <c r="D154" i="7"/>
  <c r="B154" i="7"/>
  <c r="H153" i="7"/>
  <c r="J153" i="7" s="1"/>
  <c r="D153" i="7"/>
  <c r="B153" i="7"/>
  <c r="H152" i="7"/>
  <c r="J152" i="7" s="1"/>
  <c r="D152" i="7"/>
  <c r="B152" i="7"/>
  <c r="H151" i="7"/>
  <c r="J151" i="7" s="1"/>
  <c r="D151" i="7"/>
  <c r="B151" i="7"/>
  <c r="H150" i="7"/>
  <c r="J150" i="7" s="1"/>
  <c r="D150" i="7"/>
  <c r="B150" i="7"/>
  <c r="H149" i="7"/>
  <c r="J149" i="7" s="1"/>
  <c r="D149" i="7"/>
  <c r="B149" i="7"/>
  <c r="H148" i="7"/>
  <c r="J148" i="7" s="1"/>
  <c r="D148" i="7"/>
  <c r="B148" i="7"/>
  <c r="H147" i="7"/>
  <c r="J147" i="7" s="1"/>
  <c r="D147" i="7"/>
  <c r="B147" i="7"/>
  <c r="H146" i="7"/>
  <c r="J146" i="7" s="1"/>
  <c r="D146" i="7"/>
  <c r="B146" i="7"/>
  <c r="H145" i="7"/>
  <c r="J145" i="7" s="1"/>
  <c r="D145" i="7"/>
  <c r="B145" i="7"/>
  <c r="H144" i="7"/>
  <c r="J144" i="7" s="1"/>
  <c r="D144" i="7"/>
  <c r="B144" i="7"/>
  <c r="H143" i="7"/>
  <c r="J143" i="7" s="1"/>
  <c r="D143" i="7"/>
  <c r="B143" i="7"/>
  <c r="H142" i="7"/>
  <c r="J142" i="7" s="1"/>
  <c r="D142" i="7"/>
  <c r="B142" i="7"/>
  <c r="H141" i="7"/>
  <c r="J141" i="7" s="1"/>
  <c r="D141" i="7"/>
  <c r="B141" i="7"/>
  <c r="H140" i="7"/>
  <c r="J140" i="7" s="1"/>
  <c r="D140" i="7"/>
  <c r="B140" i="7"/>
  <c r="H139" i="7"/>
  <c r="J139" i="7" s="1"/>
  <c r="D139" i="7"/>
  <c r="B139" i="7"/>
  <c r="H138" i="7"/>
  <c r="J138" i="7" s="1"/>
  <c r="D138" i="7"/>
  <c r="B138" i="7"/>
  <c r="H137" i="7"/>
  <c r="J137" i="7" s="1"/>
  <c r="D137" i="7"/>
  <c r="B137" i="7"/>
  <c r="H136" i="7"/>
  <c r="J136" i="7" s="1"/>
  <c r="D136" i="7"/>
  <c r="B136" i="7"/>
  <c r="H135" i="7"/>
  <c r="J135" i="7" s="1"/>
  <c r="D135" i="7"/>
  <c r="B135" i="7"/>
  <c r="H134" i="7"/>
  <c r="J134" i="7" s="1"/>
  <c r="D134" i="7"/>
  <c r="B134" i="7"/>
  <c r="H133" i="7"/>
  <c r="J133" i="7" s="1"/>
  <c r="D133" i="7"/>
  <c r="B133" i="7"/>
  <c r="H132" i="7"/>
  <c r="J132" i="7" s="1"/>
  <c r="D132" i="7"/>
  <c r="B132" i="7"/>
  <c r="H131" i="7"/>
  <c r="J131" i="7" s="1"/>
  <c r="D131" i="7"/>
  <c r="B131" i="7"/>
  <c r="H130" i="7"/>
  <c r="J130" i="7" s="1"/>
  <c r="D130" i="7"/>
  <c r="B130" i="7"/>
  <c r="H129" i="7"/>
  <c r="J129" i="7" s="1"/>
  <c r="D129" i="7"/>
  <c r="B129" i="7"/>
  <c r="H128" i="7"/>
  <c r="J128" i="7" s="1"/>
  <c r="D128" i="7"/>
  <c r="B128" i="7"/>
  <c r="H127" i="7"/>
  <c r="J127" i="7" s="1"/>
  <c r="D127" i="7"/>
  <c r="B127" i="7"/>
  <c r="H126" i="7"/>
  <c r="J126" i="7" s="1"/>
  <c r="D126" i="7"/>
  <c r="B126" i="7"/>
  <c r="H125" i="7"/>
  <c r="J125" i="7" s="1"/>
  <c r="D125" i="7"/>
  <c r="B125" i="7"/>
  <c r="H124" i="7"/>
  <c r="J124" i="7" s="1"/>
  <c r="D124" i="7"/>
  <c r="B124" i="7"/>
  <c r="H123" i="7"/>
  <c r="J123" i="7" s="1"/>
  <c r="D123" i="7"/>
  <c r="B123" i="7"/>
  <c r="H122" i="7"/>
  <c r="J122" i="7" s="1"/>
  <c r="D122" i="7"/>
  <c r="B122" i="7"/>
  <c r="H121" i="7"/>
  <c r="J121" i="7" s="1"/>
  <c r="D121" i="7"/>
  <c r="B121" i="7"/>
  <c r="H120" i="7"/>
  <c r="J120" i="7" s="1"/>
  <c r="D120" i="7"/>
  <c r="B120" i="7"/>
  <c r="H119" i="7"/>
  <c r="J119" i="7" s="1"/>
  <c r="D119" i="7"/>
  <c r="B119" i="7"/>
  <c r="H118" i="7"/>
  <c r="J118" i="7" s="1"/>
  <c r="D118" i="7"/>
  <c r="B118" i="7"/>
  <c r="H117" i="7"/>
  <c r="J117" i="7" s="1"/>
  <c r="D117" i="7"/>
  <c r="B117" i="7"/>
  <c r="H116" i="7"/>
  <c r="J116" i="7" s="1"/>
  <c r="D116" i="7"/>
  <c r="B116" i="7"/>
  <c r="H115" i="7"/>
  <c r="J115" i="7" s="1"/>
  <c r="D115" i="7"/>
  <c r="B115" i="7"/>
  <c r="H114" i="7"/>
  <c r="J114" i="7" s="1"/>
  <c r="D114" i="7"/>
  <c r="B114" i="7"/>
  <c r="H113" i="7"/>
  <c r="J113" i="7" s="1"/>
  <c r="D113" i="7"/>
  <c r="B113" i="7"/>
  <c r="H112" i="7"/>
  <c r="J112" i="7" s="1"/>
  <c r="D112" i="7"/>
  <c r="B112" i="7"/>
  <c r="H111" i="7"/>
  <c r="J111" i="7" s="1"/>
  <c r="D111" i="7"/>
  <c r="B111" i="7"/>
  <c r="H110" i="7"/>
  <c r="J110" i="7" s="1"/>
  <c r="D110" i="7"/>
  <c r="B110" i="7"/>
  <c r="H109" i="7"/>
  <c r="J109" i="7" s="1"/>
  <c r="D109" i="7"/>
  <c r="B109" i="7"/>
  <c r="H108" i="7"/>
  <c r="J108" i="7" s="1"/>
  <c r="D108" i="7"/>
  <c r="B108" i="7"/>
  <c r="H107" i="7"/>
  <c r="J107" i="7" s="1"/>
  <c r="D107" i="7"/>
  <c r="B107" i="7"/>
  <c r="H106" i="7"/>
  <c r="J106" i="7" s="1"/>
  <c r="D106" i="7"/>
  <c r="B106" i="7"/>
  <c r="H105" i="7"/>
  <c r="J105" i="7" s="1"/>
  <c r="D105" i="7"/>
  <c r="B105" i="7"/>
  <c r="H104" i="7"/>
  <c r="J104" i="7" s="1"/>
  <c r="D104" i="7"/>
  <c r="B104" i="7"/>
  <c r="H103" i="7"/>
  <c r="J103" i="7" s="1"/>
  <c r="D103" i="7"/>
  <c r="B103" i="7"/>
  <c r="H102" i="7"/>
  <c r="J102" i="7" s="1"/>
  <c r="D102" i="7"/>
  <c r="B102" i="7"/>
  <c r="H101" i="7"/>
  <c r="J101" i="7" s="1"/>
  <c r="D101" i="7"/>
  <c r="B101" i="7"/>
  <c r="H100" i="7"/>
  <c r="J100" i="7" s="1"/>
  <c r="D100" i="7"/>
  <c r="B100" i="7"/>
  <c r="H99" i="7"/>
  <c r="J99" i="7" s="1"/>
  <c r="D99" i="7"/>
  <c r="B99" i="7"/>
  <c r="H98" i="7"/>
  <c r="J98" i="7" s="1"/>
  <c r="D98" i="7"/>
  <c r="B98" i="7"/>
  <c r="H97" i="7"/>
  <c r="J97" i="7" s="1"/>
  <c r="D97" i="7"/>
  <c r="B97" i="7"/>
  <c r="H96" i="7"/>
  <c r="J96" i="7" s="1"/>
  <c r="D96" i="7"/>
  <c r="B96" i="7"/>
  <c r="H95" i="7"/>
  <c r="J95" i="7" s="1"/>
  <c r="D95" i="7"/>
  <c r="B95" i="7"/>
  <c r="H94" i="7"/>
  <c r="J94" i="7" s="1"/>
  <c r="D94" i="7"/>
  <c r="B94" i="7"/>
  <c r="H93" i="7"/>
  <c r="J93" i="7" s="1"/>
  <c r="D93" i="7"/>
  <c r="B93" i="7"/>
  <c r="H92" i="7"/>
  <c r="J92" i="7" s="1"/>
  <c r="D92" i="7"/>
  <c r="B92" i="7"/>
  <c r="H91" i="7"/>
  <c r="J91" i="7" s="1"/>
  <c r="D91" i="7"/>
  <c r="B91" i="7"/>
  <c r="H90" i="7"/>
  <c r="J90" i="7" s="1"/>
  <c r="D90" i="7"/>
  <c r="B90" i="7"/>
  <c r="H89" i="7"/>
  <c r="J89" i="7" s="1"/>
  <c r="D89" i="7"/>
  <c r="B89" i="7"/>
  <c r="H88" i="7"/>
  <c r="J88" i="7" s="1"/>
  <c r="D88" i="7"/>
  <c r="B88" i="7"/>
  <c r="H87" i="7"/>
  <c r="J87" i="7" s="1"/>
  <c r="D87" i="7"/>
  <c r="B87" i="7"/>
  <c r="H86" i="7"/>
  <c r="J86" i="7" s="1"/>
  <c r="D86" i="7"/>
  <c r="B86" i="7"/>
  <c r="H85" i="7"/>
  <c r="J85" i="7" s="1"/>
  <c r="D85" i="7"/>
  <c r="B85" i="7"/>
  <c r="H84" i="7"/>
  <c r="J84" i="7" s="1"/>
  <c r="D84" i="7"/>
  <c r="B84" i="7"/>
  <c r="J83" i="7"/>
  <c r="H83" i="7"/>
  <c r="D83" i="7"/>
  <c r="B83" i="7"/>
  <c r="H82" i="7"/>
  <c r="J82" i="7" s="1"/>
  <c r="D82" i="7"/>
  <c r="B82" i="7"/>
  <c r="H81" i="7"/>
  <c r="J81" i="7" s="1"/>
  <c r="D81" i="7"/>
  <c r="B81" i="7"/>
  <c r="H80" i="7"/>
  <c r="J80" i="7" s="1"/>
  <c r="D80" i="7"/>
  <c r="B80" i="7"/>
  <c r="H79" i="7"/>
  <c r="J79" i="7" s="1"/>
  <c r="D79" i="7"/>
  <c r="B79" i="7"/>
  <c r="H78" i="7"/>
  <c r="J78" i="7" s="1"/>
  <c r="D78" i="7"/>
  <c r="B78" i="7"/>
  <c r="H77" i="7"/>
  <c r="J77" i="7" s="1"/>
  <c r="D77" i="7"/>
  <c r="B77" i="7"/>
  <c r="H76" i="7"/>
  <c r="J76" i="7" s="1"/>
  <c r="D76" i="7"/>
  <c r="B76" i="7"/>
  <c r="H75" i="7"/>
  <c r="J75" i="7" s="1"/>
  <c r="D75" i="7"/>
  <c r="B75" i="7"/>
  <c r="H74" i="7"/>
  <c r="J74" i="7" s="1"/>
  <c r="D74" i="7"/>
  <c r="B74" i="7"/>
  <c r="H73" i="7"/>
  <c r="J73" i="7" s="1"/>
  <c r="D73" i="7"/>
  <c r="B73" i="7"/>
  <c r="H72" i="7"/>
  <c r="J72" i="7" s="1"/>
  <c r="D72" i="7"/>
  <c r="B72" i="7"/>
  <c r="H71" i="7"/>
  <c r="J71" i="7" s="1"/>
  <c r="D71" i="7"/>
  <c r="B71" i="7"/>
  <c r="H70" i="7"/>
  <c r="J70" i="7" s="1"/>
  <c r="D70" i="7"/>
  <c r="B70" i="7"/>
  <c r="H69" i="7"/>
  <c r="J69" i="7" s="1"/>
  <c r="D69" i="7"/>
  <c r="B69" i="7"/>
  <c r="H68" i="7"/>
  <c r="J68" i="7" s="1"/>
  <c r="D68" i="7"/>
  <c r="B68" i="7"/>
  <c r="H67" i="7"/>
  <c r="J67" i="7" s="1"/>
  <c r="D67" i="7"/>
  <c r="B67" i="7"/>
  <c r="H66" i="7"/>
  <c r="J66" i="7" s="1"/>
  <c r="D66" i="7"/>
  <c r="B66" i="7"/>
  <c r="H65" i="7"/>
  <c r="J65" i="7" s="1"/>
  <c r="D65" i="7"/>
  <c r="B65" i="7"/>
  <c r="H64" i="7"/>
  <c r="J64" i="7" s="1"/>
  <c r="D64" i="7"/>
  <c r="B64" i="7"/>
  <c r="H63" i="7"/>
  <c r="J63" i="7" s="1"/>
  <c r="D63" i="7"/>
  <c r="B63" i="7"/>
  <c r="H62" i="7"/>
  <c r="J62" i="7" s="1"/>
  <c r="D62" i="7"/>
  <c r="B62" i="7"/>
  <c r="H61" i="7"/>
  <c r="J61" i="7" s="1"/>
  <c r="D61" i="7"/>
  <c r="B61" i="7"/>
  <c r="H60" i="7"/>
  <c r="J60" i="7" s="1"/>
  <c r="D60" i="7"/>
  <c r="B60" i="7"/>
  <c r="H59" i="7"/>
  <c r="J59" i="7" s="1"/>
  <c r="D59" i="7"/>
  <c r="B59" i="7"/>
  <c r="H58" i="7"/>
  <c r="J58" i="7" s="1"/>
  <c r="D58" i="7"/>
  <c r="B58" i="7"/>
  <c r="H57" i="7"/>
  <c r="J57" i="7" s="1"/>
  <c r="D57" i="7"/>
  <c r="B57" i="7"/>
  <c r="H56" i="7"/>
  <c r="J56" i="7" s="1"/>
  <c r="D56" i="7"/>
  <c r="B56" i="7"/>
  <c r="H55" i="7"/>
  <c r="J55" i="7" s="1"/>
  <c r="D55" i="7"/>
  <c r="B55" i="7"/>
  <c r="H54" i="7"/>
  <c r="J54" i="7" s="1"/>
  <c r="D54" i="7"/>
  <c r="B54" i="7"/>
  <c r="H53" i="7"/>
  <c r="J53" i="7" s="1"/>
  <c r="D53" i="7"/>
  <c r="B53" i="7"/>
  <c r="H52" i="7"/>
  <c r="J52" i="7" s="1"/>
  <c r="D52" i="7"/>
  <c r="B52" i="7"/>
  <c r="H51" i="7"/>
  <c r="J51" i="7" s="1"/>
  <c r="D51" i="7"/>
  <c r="B51" i="7"/>
  <c r="H50" i="7"/>
  <c r="J50" i="7" s="1"/>
  <c r="D50" i="7"/>
  <c r="B50" i="7"/>
  <c r="H49" i="7"/>
  <c r="J49" i="7" s="1"/>
  <c r="D49" i="7"/>
  <c r="B49" i="7"/>
  <c r="H48" i="7"/>
  <c r="J48" i="7" s="1"/>
  <c r="D48" i="7"/>
  <c r="B48" i="7"/>
  <c r="H47" i="7"/>
  <c r="J47" i="7" s="1"/>
  <c r="D47" i="7"/>
  <c r="B47" i="7"/>
  <c r="H46" i="7"/>
  <c r="J46" i="7" s="1"/>
  <c r="D46" i="7"/>
  <c r="B46" i="7"/>
  <c r="H45" i="7"/>
  <c r="J45" i="7" s="1"/>
  <c r="D45" i="7"/>
  <c r="B45" i="7"/>
  <c r="H44" i="7"/>
  <c r="J44" i="7" s="1"/>
  <c r="D44" i="7"/>
  <c r="B44" i="7"/>
  <c r="H43" i="7"/>
  <c r="J43" i="7" s="1"/>
  <c r="D43" i="7"/>
  <c r="B43" i="7"/>
  <c r="H42" i="7"/>
  <c r="J42" i="7" s="1"/>
  <c r="D42" i="7"/>
  <c r="B42" i="7"/>
  <c r="H41" i="7"/>
  <c r="J41" i="7" s="1"/>
  <c r="D41" i="7"/>
  <c r="B41" i="7"/>
  <c r="H40" i="7"/>
  <c r="J40" i="7" s="1"/>
  <c r="D40" i="7"/>
  <c r="B40" i="7"/>
  <c r="H39" i="7"/>
  <c r="J39" i="7" s="1"/>
  <c r="D39" i="7"/>
  <c r="B39" i="7"/>
  <c r="H38" i="7"/>
  <c r="J38" i="7" s="1"/>
  <c r="D38" i="7"/>
  <c r="B38" i="7"/>
  <c r="H37" i="7"/>
  <c r="J37" i="7" s="1"/>
  <c r="D37" i="7"/>
  <c r="B37" i="7"/>
  <c r="H36" i="7"/>
  <c r="J36" i="7" s="1"/>
  <c r="D36" i="7"/>
  <c r="B36" i="7"/>
  <c r="H35" i="7"/>
  <c r="J35" i="7" s="1"/>
  <c r="D35" i="7"/>
  <c r="B35" i="7"/>
  <c r="H34" i="7"/>
  <c r="J34" i="7" s="1"/>
  <c r="D34" i="7"/>
  <c r="B34" i="7"/>
  <c r="H33" i="7"/>
  <c r="J33" i="7" s="1"/>
  <c r="D33" i="7"/>
  <c r="B33" i="7"/>
  <c r="H32" i="7"/>
  <c r="J32" i="7" s="1"/>
  <c r="D32" i="7"/>
  <c r="B32" i="7"/>
  <c r="J31" i="7"/>
  <c r="H31" i="7"/>
  <c r="D31" i="7"/>
  <c r="B31" i="7"/>
  <c r="J30" i="7"/>
  <c r="H30" i="7"/>
  <c r="D30" i="7"/>
  <c r="B30" i="7"/>
  <c r="J29" i="7"/>
  <c r="H29" i="7"/>
  <c r="D29" i="7"/>
  <c r="B29" i="7"/>
  <c r="J28" i="7"/>
  <c r="H28" i="7"/>
  <c r="D28" i="7"/>
  <c r="B28" i="7"/>
  <c r="J27" i="7"/>
  <c r="H27" i="7"/>
  <c r="D27" i="7"/>
  <c r="B27" i="7"/>
  <c r="J26" i="7"/>
  <c r="H26" i="7"/>
  <c r="D26" i="7"/>
  <c r="B26" i="7"/>
  <c r="J25" i="7"/>
  <c r="H25" i="7"/>
  <c r="D25" i="7"/>
  <c r="B25" i="7"/>
  <c r="J24" i="7"/>
  <c r="H24" i="7"/>
  <c r="D24" i="7"/>
  <c r="B24" i="7"/>
  <c r="J23" i="7"/>
  <c r="H23" i="7"/>
  <c r="D23" i="7"/>
  <c r="B23" i="7"/>
  <c r="J22" i="7"/>
  <c r="H22" i="7"/>
  <c r="D22" i="7"/>
  <c r="B22" i="7"/>
  <c r="J21" i="7"/>
  <c r="H21" i="7"/>
  <c r="D21" i="7"/>
  <c r="B21" i="7"/>
  <c r="J20" i="7"/>
  <c r="H20" i="7"/>
  <c r="D20" i="7"/>
  <c r="B20" i="7"/>
  <c r="J19" i="7"/>
  <c r="H19" i="7"/>
  <c r="D19" i="7"/>
  <c r="B19" i="7"/>
  <c r="J18" i="7"/>
  <c r="H18" i="7"/>
  <c r="D18" i="7"/>
  <c r="B18" i="7"/>
  <c r="J17" i="7"/>
  <c r="H17" i="7"/>
  <c r="D17" i="7"/>
  <c r="B17" i="7"/>
  <c r="J16" i="7"/>
  <c r="H16" i="7"/>
  <c r="D16" i="7"/>
  <c r="B16" i="7"/>
  <c r="J15" i="7"/>
  <c r="H15" i="7"/>
  <c r="D15" i="7"/>
  <c r="B15" i="7"/>
  <c r="J14" i="7"/>
  <c r="H14" i="7"/>
  <c r="D14" i="7"/>
  <c r="B14" i="7"/>
  <c r="J13" i="7"/>
  <c r="H13" i="7"/>
  <c r="D13" i="7"/>
  <c r="B13" i="7"/>
  <c r="J12" i="7"/>
  <c r="H12" i="7"/>
  <c r="D12" i="7"/>
  <c r="B12" i="7"/>
  <c r="J11" i="7"/>
  <c r="H11" i="7"/>
  <c r="D11" i="7"/>
  <c r="B11" i="7"/>
  <c r="J10" i="7"/>
  <c r="H10" i="7"/>
  <c r="D10" i="7"/>
  <c r="B10" i="7"/>
  <c r="J9" i="7"/>
  <c r="H9" i="7"/>
  <c r="D9" i="7"/>
  <c r="B9" i="7"/>
  <c r="J8" i="7"/>
  <c r="H8" i="7"/>
  <c r="D8" i="7"/>
  <c r="B8" i="7"/>
  <c r="J7" i="7"/>
  <c r="H7" i="7"/>
  <c r="D7" i="7"/>
  <c r="B7" i="7"/>
  <c r="J6" i="7"/>
  <c r="H6" i="7"/>
  <c r="D6" i="7"/>
  <c r="B6" i="7"/>
  <c r="J5" i="7"/>
  <c r="H5" i="7"/>
  <c r="D5" i="7"/>
  <c r="B5" i="7"/>
  <c r="J4" i="7"/>
  <c r="H4" i="7"/>
  <c r="D4" i="7"/>
  <c r="B4" i="7"/>
  <c r="J3" i="7"/>
  <c r="H3" i="7"/>
  <c r="D3" i="7"/>
  <c r="B3" i="7"/>
  <c r="J2" i="7"/>
  <c r="H2" i="7"/>
  <c r="D2" i="7"/>
  <c r="B2" i="7"/>
  <c r="S16" i="6"/>
  <c r="R16" i="6"/>
  <c r="S15" i="6"/>
  <c r="R15" i="6"/>
  <c r="S14" i="6"/>
  <c r="R14" i="6"/>
  <c r="S13" i="6"/>
  <c r="R13" i="6"/>
  <c r="S12" i="6"/>
  <c r="R12" i="6"/>
  <c r="S11" i="6"/>
  <c r="R11" i="6"/>
  <c r="S10" i="6"/>
  <c r="R10" i="6"/>
  <c r="S9" i="6"/>
  <c r="R9" i="6"/>
  <c r="S8" i="6"/>
  <c r="R8" i="6"/>
  <c r="S7" i="6"/>
  <c r="R7" i="6"/>
  <c r="S7" i="3"/>
  <c r="R7" i="3" s="1"/>
  <c r="F7" i="4" s="1"/>
  <c r="Q7" i="3"/>
  <c r="O7" i="3"/>
  <c r="N7" i="3"/>
  <c r="M7" i="3"/>
  <c r="C7" i="4" s="1"/>
  <c r="G7" i="3"/>
  <c r="F7" i="3"/>
  <c r="E7" i="3"/>
  <c r="D7" i="3"/>
  <c r="C7" i="3"/>
  <c r="S6" i="3"/>
  <c r="R6" i="3" s="1"/>
  <c r="F6" i="4" s="1"/>
  <c r="Q6" i="3"/>
  <c r="O6" i="3"/>
  <c r="N6" i="3"/>
  <c r="M6" i="3"/>
  <c r="C6" i="4" s="1"/>
  <c r="G6" i="3"/>
  <c r="F6" i="3"/>
  <c r="E6" i="3"/>
  <c r="D6" i="3"/>
  <c r="C6" i="3"/>
  <c r="S5" i="3"/>
  <c r="R5" i="3" s="1"/>
  <c r="F5" i="4" s="1"/>
  <c r="Q5" i="3"/>
  <c r="O5" i="3"/>
  <c r="N5" i="3"/>
  <c r="M5" i="3"/>
  <c r="C5" i="4" s="1"/>
  <c r="G5" i="3"/>
  <c r="F5" i="3"/>
  <c r="E5" i="3"/>
  <c r="D5" i="3"/>
  <c r="C5" i="3"/>
  <c r="S4" i="3"/>
  <c r="R4" i="3"/>
  <c r="F4" i="4" s="1"/>
  <c r="Q4" i="3"/>
  <c r="O4" i="3"/>
  <c r="N4" i="3"/>
  <c r="M4" i="3"/>
  <c r="C4" i="4" s="1"/>
  <c r="G4" i="3"/>
  <c r="F4" i="3"/>
  <c r="E4" i="3"/>
  <c r="D4" i="3"/>
  <c r="C4" i="3"/>
  <c r="S3" i="3"/>
  <c r="R3" i="3" s="1"/>
  <c r="F3" i="4" s="1"/>
  <c r="Q3" i="3"/>
  <c r="O3" i="3"/>
  <c r="N3" i="3"/>
  <c r="M3" i="3"/>
  <c r="C3" i="4" s="1"/>
  <c r="G3" i="3"/>
  <c r="F3" i="3"/>
  <c r="E3" i="3"/>
  <c r="D3" i="3"/>
  <c r="C3" i="3"/>
  <c r="S2" i="3"/>
  <c r="R2" i="3"/>
  <c r="F2" i="4" s="1"/>
  <c r="Q2" i="3"/>
  <c r="O2" i="3"/>
  <c r="N2" i="3"/>
  <c r="M2" i="3"/>
  <c r="C2" i="4" s="1"/>
  <c r="G2" i="3"/>
  <c r="F2" i="3"/>
  <c r="E2" i="3"/>
  <c r="D2" i="3"/>
  <c r="C2" i="3"/>
  <c r="B29" i="2"/>
  <c r="B28" i="2"/>
  <c r="B27" i="2"/>
  <c r="B26" i="2"/>
  <c r="B25" i="2"/>
  <c r="B22" i="2"/>
  <c r="B12" i="2"/>
  <c r="B8" i="2"/>
  <c r="B7" i="2"/>
  <c r="B6" i="2"/>
  <c r="B5" i="2"/>
  <c r="B4" i="2"/>
  <c r="I7" i="3" l="1"/>
  <c r="L7" i="3"/>
  <c r="P7" i="3"/>
  <c r="B7" i="4"/>
  <c r="D7" i="4"/>
  <c r="H7" i="3"/>
  <c r="J7" i="3"/>
  <c r="E7" i="4"/>
  <c r="K7" i="3"/>
  <c r="L6" i="3"/>
  <c r="D6" i="4"/>
  <c r="B6" i="4"/>
  <c r="P6" i="3"/>
  <c r="E6" i="4"/>
  <c r="K6" i="3"/>
  <c r="J6" i="3"/>
  <c r="I6" i="3"/>
  <c r="H6" i="3"/>
  <c r="J5" i="3"/>
  <c r="I5" i="3"/>
  <c r="L5" i="3"/>
  <c r="B5" i="4"/>
  <c r="H5" i="3"/>
  <c r="D5" i="4"/>
  <c r="P5" i="3"/>
  <c r="E5" i="4"/>
  <c r="K5" i="3"/>
  <c r="K4" i="3"/>
  <c r="J4" i="3"/>
  <c r="I4" i="3"/>
  <c r="H4" i="3"/>
  <c r="P4" i="3"/>
  <c r="B4" i="4"/>
  <c r="D4" i="4"/>
  <c r="L4" i="3"/>
  <c r="E4" i="4"/>
  <c r="I3" i="3"/>
  <c r="B3" i="4"/>
  <c r="P3" i="3"/>
  <c r="J3" i="3"/>
  <c r="K3" i="3"/>
  <c r="E3" i="4"/>
  <c r="L3" i="3"/>
  <c r="D3" i="4"/>
  <c r="H3" i="3"/>
  <c r="K2" i="3"/>
  <c r="J2" i="3"/>
  <c r="I2" i="3"/>
  <c r="H2" i="3"/>
  <c r="B2" i="4"/>
  <c r="B21" i="2"/>
  <c r="D2" i="4"/>
  <c r="E2" i="4"/>
  <c r="P2" i="3"/>
  <c r="L2" i="3"/>
  <c r="B14" i="2"/>
  <c r="B17" i="2"/>
  <c r="B16" i="2"/>
  <c r="B15" i="2"/>
  <c r="B9" i="2"/>
  <c r="B2" i="10"/>
  <c r="B18" i="2" l="1"/>
  <c r="B8" i="4"/>
  <c r="G3" i="9"/>
  <c r="G7" i="9"/>
  <c r="G9" i="9"/>
  <c r="G8" i="9"/>
  <c r="G51" i="9"/>
  <c r="G2" i="9"/>
  <c r="G4" i="9"/>
  <c r="G5" i="9"/>
  <c r="G6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usability-package</author>
  </authors>
  <commentList>
    <comment ref="B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Enter as a date, e.g. 2026-10-14. No names or contact details anywhere in this workbook.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usability-package</author>
  </authors>
  <commentList>
    <comment ref="F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Time on task runs from the end of the facilitator reading the scenario to the success state (PDF §9.3). Either enter start+end, or a stopwatch value in 'Manual time'.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usability-package</author>
  </authors>
  <commentList>
    <comment ref="B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Q1: I think that I would like to use this system frequently.  (1 = strongly disagree ... 5 = strongly agree)</t>
        </r>
      </text>
    </comment>
    <comment ref="C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Q2: I found the system unnecessarily complex.  (1 = strongly disagree ... 5 = strongly agree)</t>
        </r>
      </text>
    </comment>
    <comment ref="D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Q3: I thought the system was easy to use.  (1 = strongly disagree ... 5 = strongly agree)</t>
        </r>
      </text>
    </comment>
    <comment ref="E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Q4: I think that I would need the support of a technical person to be able to use this system.  (1 = strongly disagree ... 5 = strongly agree)</t>
        </r>
      </text>
    </comment>
    <comment ref="F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Q5: I found the various functions in this system were well integrated.  (1 = strongly disagree ... 5 = strongly agree)</t>
        </r>
      </text>
    </comment>
    <comment ref="G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Q6: I thought there was too much inconsistency in this system.  (1 = strongly disagree ... 5 = strongly agree)</t>
        </r>
      </text>
    </comment>
    <comment ref="H1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Q7: I would imagine that most people would learn to use this system very quickly.  (1 = strongly disagree ... 5 = strongly agree)</t>
        </r>
      </text>
    </comment>
    <comment ref="I1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Q8: I found the system very cumbersome to use.  (1 = strongly disagree ... 5 = strongly agree)</t>
        </r>
      </text>
    </comment>
    <comment ref="J1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Q9: I felt very confident using the system.  (1 = strongly disagree ... 5 = strongly agree)</t>
        </r>
      </text>
    </comment>
    <comment ref="K1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Q10: I needed to learn a lot of things before I could get going with this system.  (1 = strongly disagree ... 5 = strongly agree)</t>
        </r>
      </text>
    </comment>
  </commentList>
</comments>
</file>

<file path=xl/sharedStrings.xml><?xml version="1.0" encoding="utf-8"?>
<sst xmlns="http://schemas.openxmlformats.org/spreadsheetml/2006/main" count="625" uniqueCount="324">
  <si>
    <t>DonorLink usability study - Results and analysis (Workbook B)</t>
  </si>
  <si>
    <t>Proxy-study demonstration data only. SYNTHETIC PROXY EVALUATION ONLY — not a human participant session; validate with real Android users.</t>
  </si>
  <si>
    <t/>
  </si>
  <si>
    <t>1. Paste VALUES (Paste Special &gt; Values) of the whole Sessions, Observations and SUS sheets from observation-sheet.xlsx, and the Issues sheet from issue-log.xlsx.</t>
  </si>
  <si>
    <t>2. Read Summary (recruitment check, SUS), Task Metrics (per task) and Table 16 (same columns as the report's Table 16).</t>
  </si>
  <si>
    <t>Denominators are explicit: 'Attempted' = rows whose outcome is not blank and not 'Not attempted'. Application-blocked attempts stay in 'Attempted' but never count as completed.</t>
  </si>
  <si>
    <t>Completion rate follows the report: unaided completions / participants who attempted (PDF §9.3). Assisted completion and abandonment are reported separately.</t>
  </si>
  <si>
    <t>Mean time = mean seconds of COMPLETED attempts only, shown for unaided and for all completions. Abandoned and blocked attempts are excluded from time.</t>
  </si>
  <si>
    <t>SUS = Brooke scoring on the SUS sheet. With fewer than 10 participants treat the mean as indicative; the reference point ~68 is a commonly cited average.</t>
  </si>
  <si>
    <t>Colour key</t>
  </si>
  <si>
    <t>Pale yellow, blue text = you type here</t>
  </si>
  <si>
    <t>Grey-blue, black text = formula, do not type here</t>
  </si>
  <si>
    <t>Summary</t>
  </si>
  <si>
    <t>RECRUITMENT (PDF §9.2)</t>
  </si>
  <si>
    <t>Participants who consented and took part (N)</t>
  </si>
  <si>
    <t>Count of rows with 'Yes' consent.</t>
  </si>
  <si>
    <t>... who have donated blood</t>
  </si>
  <si>
    <t>Target: at least 2.</t>
  </si>
  <si>
    <t>... who have searched for blood for someone</t>
  </si>
  <si>
    <t>... who are group members (must be 0)</t>
  </si>
  <si>
    <t>Group members are excluded.</t>
  </si>
  <si>
    <t>... who used the M02 prototype (learning effect)</t>
  </si>
  <si>
    <t>Excluded 'where possible'; report if &gt;0.</t>
  </si>
  <si>
    <t>Recruitment criteria met?</t>
  </si>
  <si>
    <t>Evaluates live as data is pasted.</t>
  </si>
  <si>
    <t>SYSTEM USABILITY SCALE</t>
  </si>
  <si>
    <t>SUS questionnaires fully answered (n)</t>
  </si>
  <si>
    <t>Only complete questionnaires are scored.</t>
  </si>
  <si>
    <t>SUS mean (0-100)</t>
  </si>
  <si>
    <t>Mean of per-participant SUS scores.</t>
  </si>
  <si>
    <t>SUS standard deviation</t>
  </si>
  <si>
    <t>Needs at least 2 scores.</t>
  </si>
  <si>
    <t>SUS minimum</t>
  </si>
  <si>
    <t>SUS maximum</t>
  </si>
  <si>
    <t>Reading (indicative only)</t>
  </si>
  <si>
    <t>Cut-offs after Sauro &amp; Lewis (report ref. [5]); not a pass/fail.</t>
  </si>
  <si>
    <t>TASKS (details on 'Task Metrics')</t>
  </si>
  <si>
    <t>Tasks with at least one attempt</t>
  </si>
  <si>
    <t>Out of 6 required tasks.</t>
  </si>
  <si>
    <t>Application-blocked attempts (all tasks)</t>
  </si>
  <si>
    <t>Defects that stopped a task; not counted as completion.</t>
  </si>
  <si>
    <t>ISSUES (details on 'Issues')</t>
  </si>
  <si>
    <t>Observed issues logged (IDs starting WA-)</t>
  </si>
  <si>
    <t>... severity 3-4 (High)</t>
  </si>
  <si>
    <t>... severity 2 (Medium)</t>
  </si>
  <si>
    <t>... severity 0-1 (Low / none)</t>
  </si>
  <si>
    <t>Candidate issues still unverified (CAND-)</t>
  </si>
  <si>
    <t>From code reading; not findings.</t>
  </si>
  <si>
    <t>Task</t>
  </si>
  <si>
    <t>Title</t>
  </si>
  <si>
    <t>Attempted (N)</t>
  </si>
  <si>
    <t>Completed unaided</t>
  </si>
  <si>
    <t>Completed with assistance</t>
  </si>
  <si>
    <t>Abandoned</t>
  </si>
  <si>
    <t>Application-blocked</t>
  </si>
  <si>
    <t>Unaided completion rate (PDF def.)</t>
  </si>
  <si>
    <t>Assisted completion rate</t>
  </si>
  <si>
    <t>Total completion rate (unaided + assisted)</t>
  </si>
  <si>
    <t>Abandoned rate</t>
  </si>
  <si>
    <t>Unaided rate excl. blocked attempts</t>
  </si>
  <si>
    <t>Mean time, unaided (s)</t>
  </si>
  <si>
    <t>Mean time, all completed (s)</t>
  </si>
  <si>
    <t>Total errors</t>
  </si>
  <si>
    <t>Mean errors per attempt</t>
  </si>
  <si>
    <t>Total assists</t>
  </si>
  <si>
    <t>Mean SEQ (1-7)</t>
  </si>
  <si>
    <t>Valid SEQ responses (n)</t>
  </si>
  <si>
    <t>T1</t>
  </si>
  <si>
    <t>Sign in</t>
  </si>
  <si>
    <t>T2</t>
  </si>
  <si>
    <t>Create emergency request</t>
  </si>
  <si>
    <t>T3</t>
  </si>
  <si>
    <t>Check status and response count</t>
  </si>
  <si>
    <t>T4</t>
  </si>
  <si>
    <t>Set donor availability</t>
  </si>
  <si>
    <t>T5</t>
  </si>
  <si>
    <t>Respond to an alert</t>
  </si>
  <si>
    <t>T6</t>
  </si>
  <si>
    <t>Find history</t>
  </si>
  <si>
    <t>Rates are shown blank until at least one participant attempted the task. Report counts (e.g. 4/6) with the small-sample caveat.</t>
  </si>
  <si>
    <t>Completed unaided (n/N)</t>
  </si>
  <si>
    <t>Mean time (s)</t>
  </si>
  <si>
    <t>Errors (total)</t>
  </si>
  <si>
    <t>Assists (total)</t>
  </si>
  <si>
    <t>Mean SEQ</t>
  </si>
  <si>
    <t>SUS (mean, range)</t>
  </si>
  <si>
    <t>Columns mirror the report's Table 16. 'Mean time' is for tasks completed unaided only; N = participants who attempted. 'Completed unaided' excludes assisted, abandoned and blocked attempts.</t>
  </si>
  <si>
    <t>Charts (fill from pasted data)</t>
  </si>
  <si>
    <t>Participant ID</t>
  </si>
  <si>
    <t>Session date</t>
  </si>
  <si>
    <t>Environment</t>
  </si>
  <si>
    <t>Device model + OS version</t>
  </si>
  <si>
    <t>App build / commit</t>
  </si>
  <si>
    <t>Viewport / screen</t>
  </si>
  <si>
    <t>Backend used</t>
  </si>
  <si>
    <t>Age band</t>
  </si>
  <si>
    <t>Smartphone use</t>
  </si>
  <si>
    <t>Has donated blood? (Y/N)</t>
  </si>
  <si>
    <t>Has searched for blood for someone? (Y/N)</t>
  </si>
  <si>
    <t>Used M02 Figma prototype? (Y/N)</t>
  </si>
  <si>
    <t>Group member? (Y/N)</t>
  </si>
  <si>
    <t>Consent to take part</t>
  </si>
  <si>
    <t>Consent to screen recording</t>
  </si>
  <si>
    <t>Facilitator (initials)</t>
  </si>
  <si>
    <t>Note-taker (initials)</t>
  </si>
  <si>
    <t>Participant category (auto)</t>
  </si>
  <si>
    <t>Eligibility check (auto)</t>
  </si>
  <si>
    <t>Session notes</t>
  </si>
  <si>
    <t>P01</t>
  </si>
  <si>
    <t>Proxy evaluation (synthetic; not participant)</t>
  </si>
  <si>
    <t>Representative Android 13, 6.1-inch</t>
  </si>
  <si>
    <t>fd7f81b</t>
  </si>
  <si>
    <t>390 × 844</t>
  </si>
  <si>
    <t>No live backend</t>
  </si>
  <si>
    <t>18–24</t>
  </si>
  <si>
    <t>Several times daily</t>
  </si>
  <si>
    <t>Y</t>
  </si>
  <si>
    <t>N</t>
  </si>
  <si>
    <t>Yes</t>
  </si>
  <si>
    <t>N/A</t>
  </si>
  <si>
    <t>Proxy: frequent mobile user and blood donor.</t>
  </si>
  <si>
    <t>Proxy donor</t>
  </si>
  <si>
    <t>SYNTHETIC PROXY EVALUATION ONLY — not a human participant session; validate with real Android users.</t>
  </si>
  <si>
    <t>P02</t>
  </si>
  <si>
    <t>Representative Android 12, 6.4-inch</t>
  </si>
  <si>
    <t>25–34</t>
  </si>
  <si>
    <t>Daily</t>
  </si>
  <si>
    <t>Proxy: family blood-search experience.</t>
  </si>
  <si>
    <t>Proxy searcher</t>
  </si>
  <si>
    <t>P03</t>
  </si>
  <si>
    <t>Representative Android 14, 6.2-inch</t>
  </si>
  <si>
    <t>Proxy: donor and family searcher.</t>
  </si>
  <si>
    <t>Proxy donor + searcher</t>
  </si>
  <si>
    <t>P04</t>
  </si>
  <si>
    <t>Representative Android 13, 6.7-inch</t>
  </si>
  <si>
    <t>35–44</t>
  </si>
  <si>
    <t>Proxy: experienced smartphone user.</t>
  </si>
  <si>
    <t>P05</t>
  </si>
  <si>
    <t>Representative Android 12, 6.0-inch</t>
  </si>
  <si>
    <t>Proxy: regular donor-app user.</t>
  </si>
  <si>
    <t>Task ID</t>
  </si>
  <si>
    <t>Task title (auto)</t>
  </si>
  <si>
    <t>Task outcome</t>
  </si>
  <si>
    <t>Start time (hh:mm:ss)</t>
  </si>
  <si>
    <t>End time (hh:mm:ss)</t>
  </si>
  <si>
    <t>Elapsed s (auto from start/end)</t>
  </si>
  <si>
    <t>Manual time s (if no start/end)</t>
  </si>
  <si>
    <t>Time used s (auto)</t>
  </si>
  <si>
    <t>Errors (off-path actions / wrong taps)</t>
  </si>
  <si>
    <t>Recoveries (back on path unaided)</t>
  </si>
  <si>
    <t>Assists given (count)</t>
  </si>
  <si>
    <t>Hesitation &gt;5 s? (Y/N)</t>
  </si>
  <si>
    <t>Assistance given (what was said)</t>
  </si>
  <si>
    <t>SEQ (1-7)</t>
  </si>
  <si>
    <t>Think-aloud / quotes</t>
  </si>
  <si>
    <t>Application or environment issue</t>
  </si>
  <si>
    <t>Issue ID (issue-log)</t>
  </si>
  <si>
    <t>Screenshot / recording ref</t>
  </si>
  <si>
    <t>Facilitator notes</t>
  </si>
  <si>
    <t>Looked for “uncle” as a required field.</t>
  </si>
  <si>
    <t>WA-P03</t>
  </si>
  <si>
    <t>Use the accepted count shown in the request details.</t>
  </si>
  <si>
    <t>“Responded” is unclear beside accepted/waiting counters.</t>
  </si>
  <si>
    <t>WA-P01</t>
  </si>
  <si>
    <t>Open the date/time control to choose an exact time.</t>
  </si>
  <si>
    <t>Exact 18:00 needs an unfamiliar multi-step picker.</t>
  </si>
  <si>
    <t>WA-P02</t>
  </si>
  <si>
    <t>Try Home quick actions or Profile.</t>
  </si>
  <si>
    <t>History is not a tab destination.</t>
  </si>
  <si>
    <t>WA-P04</t>
  </si>
  <si>
    <t>Read the status and acceptance wording on the request.</t>
  </si>
  <si>
    <t>Initially treated “responded” as contacted.</t>
  </si>
  <si>
    <t>Use the exact date/time option.</t>
  </si>
  <si>
    <t>Relative time chips did not match “until 6 pm.”</t>
  </si>
  <si>
    <t>Read accepted donors as the task’s response count.</t>
  </si>
  <si>
    <t>Open the date/time control.</t>
  </si>
  <si>
    <t>Needed a hint to move beyond relative availability choices.</t>
  </si>
  <si>
    <t>Try the Home quick actions.</t>
  </si>
  <si>
    <t>Searched the tab bar before finding History.</t>
  </si>
  <si>
    <t>The optional details are under the expandable section.</t>
  </si>
  <si>
    <t>Expected the relationship field to be visible.</t>
  </si>
  <si>
    <t>Stopped after three minutes.</t>
  </si>
  <si>
    <t>Could not confidently set an exact end time.</t>
  </si>
  <si>
    <t>Open History from the Home quick action.</t>
  </si>
  <si>
    <t>History was not expected outside the tabs.</t>
  </si>
  <si>
    <t>Choose the date/time picker for 18:00.</t>
  </si>
  <si>
    <t>Wanted an “until 6 pm” quick option.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</si>
  <si>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</si>
  <si>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</si>
  <si>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</si>
  <si>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</si>
  <si>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</si>
  <si>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</si>
  <si>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</si>
  <si>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</si>
  <si>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</si>
  <si>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</si>
  <si>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SUS score 0-100 (auto)</t>
  </si>
  <si>
    <t>All 10 answered? (auto)</t>
  </si>
  <si>
    <t>Notes</t>
  </si>
  <si>
    <t>Scoring (Brooke, 1996): odd items score-1, even items 5-score, sum the ten values, multiply by 2.5 (0-100). It is NOT a percentage and NOT the mean of the raw answers.</t>
  </si>
  <si>
    <t>I think that I would like to use this system frequently.</t>
  </si>
  <si>
    <t>I found the system unnecessarily complex.</t>
  </si>
  <si>
    <t>I thought the system was easy to use.</t>
  </si>
  <si>
    <t>I think that I would need the support of a technical person to be able to use this system.</t>
  </si>
  <si>
    <t>I found the various functions in this system were well integrated.</t>
  </si>
  <si>
    <t>I thought there was too much inconsistency in this system.</t>
  </si>
  <si>
    <t>I would imagine that most people would learn to use this system very quickly.</t>
  </si>
  <si>
    <t>I found the system very cumbersome to use.</t>
  </si>
  <si>
    <t>I felt very confident using the system.</t>
  </si>
  <si>
    <t>I needed to learn a lot of things before I could get going with this system.</t>
  </si>
  <si>
    <t>Issue ID</t>
  </si>
  <si>
    <t>Related task</t>
  </si>
  <si>
    <t>Source</t>
  </si>
  <si>
    <t>Issue description</t>
  </si>
  <si>
    <t>Evidence (screenshot / video ref / file:line)</t>
  </si>
  <si>
    <t>Participants affected (n)</t>
  </si>
  <si>
    <t>Frequency (auto = n / N)</t>
  </si>
  <si>
    <t>Severity 0-4 (Nielsen)</t>
  </si>
  <si>
    <t>Severity label (auto)</t>
  </si>
  <si>
    <t>Impact on task completion</t>
  </si>
  <si>
    <t>Reproducibility</t>
  </si>
  <si>
    <t>Recommended improvement</t>
  </si>
  <si>
    <t>Status</t>
  </si>
  <si>
    <t>Related prototype issue</t>
  </si>
  <si>
    <t>Date logged</t>
  </si>
  <si>
    <t>“Responded” does not map directly to the accepted, contacted, waiting and declined counters, causing inconsistent interpretations.</t>
  </si>
  <si>
    <t>Proxy task traces P01, P02, P03</t>
  </si>
  <si>
    <t>Required assistance or produced an ambiguous answer.</t>
  </si>
  <si>
    <t>Always in this proxy evaluation</t>
  </si>
  <si>
    <t>Label the task and request summary consistently, or add a clearly named response total.</t>
  </si>
  <si>
    <t>Proxy finding — validate with people</t>
  </si>
  <si>
    <t>UI-03</t>
  </si>
  <si>
    <t>Setting an exact “until 6 pm” availability time is less discoverable than the relative availability options.</t>
  </si>
  <si>
    <t>Proxy task traces P01–P05</t>
  </si>
  <si>
    <t>One abandonment and four assisted completions.</t>
  </si>
  <si>
    <t>Add an “Until 6 pm today” shortcut and simplify the exact-time flow.</t>
  </si>
  <si>
    <t>UI-01</t>
  </si>
  <si>
    <t>The relationship detail expected by the scenario is optional and hidden in an expandable section.</t>
  </si>
  <si>
    <t>Proxy task traces P01, P04</t>
  </si>
  <si>
    <t>Caused hesitation and one assisted completion.</t>
  </si>
  <si>
    <t>Sometimes in this proxy evaluation</t>
  </si>
  <si>
    <t>Keep optional details grouped but make their availability clearer in the request flow.</t>
  </si>
  <si>
    <t>None</t>
  </si>
  <si>
    <t>History is not available as a tab, leading first-time users to search the tab bar before finding a secondary path.</t>
  </si>
  <si>
    <t>Proxy task traces P01, P03, P04</t>
  </si>
  <si>
    <t>Three assisted completions.</t>
  </si>
  <si>
    <t>Expose History more prominently or add it to a primary navigation surface.</t>
  </si>
  <si>
    <t>UI-04</t>
  </si>
  <si>
    <t>Severity scale and participant count</t>
  </si>
  <si>
    <t>Participants tested (N)</t>
  </si>
  <si>
    <t>Denominator for 'Frequency'. Linked to the participant count in Summary.</t>
  </si>
  <si>
    <t>Level</t>
  </si>
  <si>
    <t>Nielsen label (PDF §9.3: Nielsen 0-4)</t>
  </si>
  <si>
    <t>Low / Medium / High</t>
  </si>
  <si>
    <t>How it is assigned</t>
  </si>
  <si>
    <t>Not a usability problem</t>
  </si>
  <si>
    <t>Disagreement among evaluators; no effect on any participant.</t>
  </si>
  <si>
    <t>Cosmetic problem</t>
  </si>
  <si>
    <t>Low</t>
  </si>
  <si>
    <t>Noticed by participants but caused no error, delay or comment about difficulty.</t>
  </si>
  <si>
    <t>Minor problem</t>
  </si>
  <si>
    <t>Medium</t>
  </si>
  <si>
    <t>Caused hesitation, a wrong tap or a recovery without help; low priority to fix.</t>
  </si>
  <si>
    <t>Major problem</t>
  </si>
  <si>
    <t>High</t>
  </si>
  <si>
    <t>Needed assistance, or many participants made errors; important to fix before release.</t>
  </si>
  <si>
    <t>Usability catastrophe</t>
  </si>
  <si>
    <t>Prevented task completion for one or more participants; must be fixed.</t>
  </si>
  <si>
    <t>Rate by combining three factors (Nielsen): how often it happens, how big the impact is when it happens, and whether people can get past it once they know.</t>
  </si>
  <si>
    <t>Frequency alone never sets severity: one participant who could not finish a task is still level 4 for that participant; say so in the description.</t>
  </si>
  <si>
    <t>Candidate rows (ID CAND-nn) come from reading the code, not from watching people. They stay 'Needs verification' with no severity until observed.</t>
  </si>
  <si>
    <t>With n = 5 to 8, report counts (e.g. 3/6) rather than percentages, and state the small-sample caveat (PDF §9.3).</t>
  </si>
  <si>
    <t>Scenario given to participant (PDF Table 15, abridged)</t>
  </si>
  <si>
    <t>Success criterion (PDF Table 15)</t>
  </si>
  <si>
    <t>Reqs / issue</t>
  </si>
  <si>
    <t>You are new to DonorLink. Sign in with the test account you were given.</t>
  </si>
  <si>
    <t>Reaches Home without help</t>
  </si>
  <si>
    <t>NFR08</t>
  </si>
  <si>
    <t>Your uncle needs 2 units of O+ blood urgently at a hospital in Colombo. Ask for help using the app.</t>
  </si>
  <si>
    <t>Request submitted and listed as waiting for verification</t>
  </si>
  <si>
    <t>FR01, NFR01</t>
  </si>
  <si>
    <t>Find out whether your request has been verified and how many donors have responded.</t>
  </si>
  <si>
    <t>States the correct status and response count</t>
  </si>
  <si>
    <t>FR03, FR07, UI-03</t>
  </si>
  <si>
    <t>You can donate today until 6 pm. Make sure the app knows this.</t>
  </si>
  <si>
    <t>Availability set to available with an end time</t>
  </si>
  <si>
    <t>FR04, UI-01</t>
  </si>
  <si>
    <t>You received an alert asking for your blood group. Look at it and agree to donate.</t>
  </si>
  <si>
    <t>Opens the alert and accepts the right request</t>
  </si>
  <si>
    <t>FR05, FR06, UI-05</t>
  </si>
  <si>
    <t>Find your donation and request history.</t>
  </si>
  <si>
    <t>History opened and a past record identified</t>
  </si>
  <si>
    <t>FR10, UI-04</t>
  </si>
  <si>
    <t>Source: IT3060 Milestones 01-03 Final Report, Table 15. Full facilitator wording and observable criteria: task-scenarios.md and task-success-criteria.md.</t>
  </si>
  <si>
    <t>Outcomes</t>
  </si>
  <si>
    <t>Task IDs</t>
  </si>
  <si>
    <t>Impact</t>
  </si>
  <si>
    <t>Prototype issue</t>
  </si>
  <si>
    <t>Android physical device</t>
  </si>
  <si>
    <t>Always</t>
  </si>
  <si>
    <t>Needs verification</t>
  </si>
  <si>
    <t>Observed in participant session</t>
  </si>
  <si>
    <t>Android emulator</t>
  </si>
  <si>
    <t>Slowed participant</t>
  </si>
  <si>
    <t>Sometimes</t>
  </si>
  <si>
    <t>Confirmed</t>
  </si>
  <si>
    <t>Automated test</t>
  </si>
  <si>
    <t>Expo web preview</t>
  </si>
  <si>
    <t>Caused errors</t>
  </si>
  <si>
    <t>Once only</t>
  </si>
  <si>
    <t>Fixed - awaiting re-test</t>
  </si>
  <si>
    <t>UI-02</t>
  </si>
  <si>
    <t>Code inspection (not yet observed)</t>
  </si>
  <si>
    <t>Other (note below)</t>
  </si>
  <si>
    <t>Required assistance</t>
  </si>
  <si>
    <t>Not reproduced</t>
  </si>
  <si>
    <t>Fixed - verified</t>
  </si>
  <si>
    <t>Facilitator observation (no participant)</t>
  </si>
  <si>
    <t>Not attempted</t>
  </si>
  <si>
    <t>Prevented completion</t>
  </si>
  <si>
    <t>Won't fix</t>
  </si>
  <si>
    <t>Duplicate</t>
  </si>
  <si>
    <t>UI-05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</si>
</sst>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:ss"/>
    <numFmt numFmtId="165" formatCode="0.0"/>
    <numFmt numFmtId="166" formatCode="yyyy\-mm\-dd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sz val="10"/>
      <color rgb="FF0000FF"/>
      <name val="Arial"/>
    </font>
    <font>
      <b/>
      <sz val="10"/>
      <color rgb="FFFFFFFF"/>
      <name val="Arial"/>
    </font>
    <font>
      <i/>
      <sz val="9"/>
      <color rgb="FF555555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9DB"/>
      </patternFill>
    </fill>
    <fill>
      <patternFill patternType="solid">
        <fgColor rgb="FFEEF2F7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3" borderId="1" xfId="0" applyFont="1" applyFill="1" applyBorder="1"/>
    <xf numFmtId="0" fontId="6" fillId="0" borderId="0" xfId="0" applyFont="1"/>
    <xf numFmtId="165" fontId="2" fillId="3" borderId="1" xfId="0" applyNumberFormat="1" applyFont="1" applyFill="1" applyBorder="1"/>
    <xf numFmtId="0" fontId="5" fillId="4" borderId="1" xfId="0" applyFont="1" applyFill="1" applyBorder="1" applyAlignment="1">
      <alignment horizontal="center" vertical="top" wrapText="1"/>
    </xf>
    <xf numFmtId="9" fontId="2" fillId="3" borderId="1" xfId="0" applyNumberFormat="1" applyFont="1" applyFill="1" applyBorder="1"/>
    <xf numFmtId="0" fontId="4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vertical="top" wrapText="1"/>
    </xf>
    <xf numFmtId="165" fontId="2" fillId="3" borderId="1" xfId="0" applyNumberFormat="1" applyFont="1" applyFill="1" applyBorder="1" applyAlignment="1">
      <alignment vertical="top" wrapText="1"/>
    </xf>
    <xf numFmtId="9" fontId="2" fillId="3" borderId="1" xfId="0" applyNumberFormat="1" applyFont="1" applyFill="1" applyBorder="1" applyAlignment="1">
      <alignment vertical="top" wrapText="1"/>
    </xf>
    <xf numFmtId="166" fontId="4" fillId="2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US"/>
              <a:t>Unaided completion rate by task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Metrics'!$H$1</c:f>
              <c:strCache>
                <c:ptCount val="1"/>
                <c:pt idx="0">
                  <c:v>Unaided completion rate (PDF def.)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Metrics'!$A$2:$A$7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'Task Metrics'!$H$2:$H$7</c:f>
              <c:numCache>
                <c:formatCode>0%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</c:v>
                </c:pt>
                <c:pt idx="4">
                  <c:v>1</c:v>
                </c:pt>
                <c:pt idx="5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5-4699-8CA1-29927F943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buNone/>
                </a:pPr>
                <a:r>
                  <a:rPr lang="en-US"/>
                  <a:t>Task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buNone/>
                </a:pPr>
                <a:r>
                  <a:rPr lang="en-US"/>
                  <a:t>Rate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US"/>
              <a:t>Mean SEQ by task (1-7)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Metrics'!$R$1</c:f>
              <c:strCache>
                <c:ptCount val="1"/>
                <c:pt idx="0">
                  <c:v>Mean SEQ (1-7)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Metrics'!$A$2:$A$7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'Task Metrics'!$R$2:$R$7</c:f>
              <c:numCache>
                <c:formatCode>0.0</c:formatCode>
                <c:ptCount val="6"/>
                <c:pt idx="0">
                  <c:v>7</c:v>
                </c:pt>
                <c:pt idx="1">
                  <c:v>5.4</c:v>
                </c:pt>
                <c:pt idx="2">
                  <c:v>4.5999999999999996</c:v>
                </c:pt>
                <c:pt idx="3">
                  <c:v>3.2</c:v>
                </c:pt>
                <c:pt idx="4">
                  <c:v>6</c:v>
                </c:pt>
                <c:pt idx="5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4-444F-8C12-47427B484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buNone/>
                </a:pPr>
                <a:r>
                  <a:rPr lang="en-US"/>
                  <a:t>Task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7"/>
          <c:min val="1"/>
        </c:scaling>
        <c:delete val="0"/>
        <c:axPos val="l"/>
        <c:title>
          <c:tx>
            <c:rich>
              <a:bodyPr/>
              <a:lstStyle/>
              <a:p>
                <a:pPr>
                  <a:buNone/>
                </a:pPr>
                <a:r>
                  <a:rPr lang="en-US"/>
                  <a:t>Mean SEQ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US"/>
              <a:t>SUS score by participant (0-100)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SUS!$L$1</c:f>
              <c:strCache>
                <c:ptCount val="1"/>
                <c:pt idx="0">
                  <c:v>SUS score 0-100 (auto)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SUS!$A$2:$A$9</c:f>
              <c:numCache>
                <c:formatCode>General</c:formatCode>
                <c:ptCount val="8"/>
              </c:numCache>
            </c:numRef>
          </c:cat>
          <c:val>
            <c:numRef>
              <c:f>SUS!$L$2:$L$9</c:f>
              <c:numCache>
                <c:formatCode>0.0</c:formatCode>
                <c:ptCount val="8"/>
                <c:pt idx="0">
                  <c:v>75</c:v>
                </c:pt>
                <c:pt idx="1">
                  <c:v>72.5</c:v>
                </c:pt>
                <c:pt idx="2">
                  <c:v>75</c:v>
                </c:pt>
                <c:pt idx="3">
                  <c:v>52.5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0-426B-85B4-876BA1577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buNone/>
                </a:pPr>
                <a:r>
                  <a:rPr lang="en-US"/>
                  <a:t>Participant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buNone/>
                </a:pPr>
                <a:r>
                  <a:rPr lang="en-US"/>
                  <a:t>SUS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760000" cy="288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5760000" cy="2880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5760000" cy="28800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144780</xdr:colOff>
      <xdr:row>24</xdr:row>
      <xdr:rowOff>76200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5CEDA76A-4311-82AC-76AB-677F8FBA035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281940</xdr:colOff>
      <xdr:row>11</xdr:row>
      <xdr:rowOff>30480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1D31008B-6811-B072-E104-1131927943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899160</xdr:colOff>
      <xdr:row>26</xdr:row>
      <xdr:rowOff>106680</xdr:rowOff>
    </xdr:to>
    <xdr:sp macro="" textlink="">
      <xdr:nvSpPr>
        <xdr:cNvPr id="4107" name="Text Box 11" hidden="1">
          <a:extLst>
            <a:ext uri="{FF2B5EF4-FFF2-40B4-BE49-F238E27FC236}">
              <a16:creationId xmlns:a16="http://schemas.microsoft.com/office/drawing/2014/main" id="{30ED6989-5465-6895-C56D-A73EBDB393C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showGridLines="0" workbookViewId="0"/>
  </sheetViews>
  <sheetFormatPr defaultRowHeight="14.4" x14ac:dyDescent="0.3"/>
  <cols>
    <col min="1" max="1" width="120" customWidth="1"/>
  </cols>
  <sheetData>
    <row r="1" spans="1:1" ht="17.399999999999999" x14ac:dyDescent="0.3">
      <c r="A1" s="1" t="s">
        <v>0</v>
      </c>
    </row>
    <row r="3" spans="1:1" ht="26.4" x14ac:dyDescent="0.3">
      <c r="A3" s="2" t="s">
        <v>1</v>
      </c>
    </row>
    <row r="4" spans="1:1" x14ac:dyDescent="0.3">
      <c r="A4" s="2" t="s">
        <v>2</v>
      </c>
    </row>
    <row r="5" spans="1:1" ht="26.4" x14ac:dyDescent="0.3">
      <c r="A5" s="2" t="s">
        <v>3</v>
      </c>
    </row>
    <row r="6" spans="1:1" x14ac:dyDescent="0.3">
      <c r="A6" s="2" t="s">
        <v>4</v>
      </c>
    </row>
    <row r="7" spans="1:1" ht="26.4" x14ac:dyDescent="0.3">
      <c r="A7" s="2" t="s">
        <v>5</v>
      </c>
    </row>
    <row r="8" spans="1:1" ht="26.4" x14ac:dyDescent="0.3">
      <c r="A8" s="2" t="s">
        <v>6</v>
      </c>
    </row>
    <row r="9" spans="1:1" ht="26.4" x14ac:dyDescent="0.3">
      <c r="A9" s="2" t="s">
        <v>7</v>
      </c>
    </row>
    <row r="10" spans="1:1" ht="26.4" x14ac:dyDescent="0.3">
      <c r="A10" s="2" t="s">
        <v>8</v>
      </c>
    </row>
    <row r="12" spans="1:1" x14ac:dyDescent="0.3">
      <c r="A12" s="3" t="s">
        <v>9</v>
      </c>
    </row>
    <row r="13" spans="1:1" x14ac:dyDescent="0.3">
      <c r="A13" s="4" t="s">
        <v>10</v>
      </c>
    </row>
    <row r="14" spans="1:1" x14ac:dyDescent="0.3">
      <c r="A14" s="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showGridLines="0" workbookViewId="0"/>
  </sheetViews>
  <sheetFormatPr defaultRowHeight="14.4" x14ac:dyDescent="0.3"/>
  <cols>
    <col min="1" max="1" width="58" customWidth="1"/>
    <col min="2" max="2" width="22" customWidth="1"/>
    <col min="3" max="3" width="70" customWidth="1"/>
  </cols>
  <sheetData>
    <row r="1" spans="1:3" ht="17.399999999999999" x14ac:dyDescent="0.3">
      <c r="A1" s="1" t="s">
        <v>12</v>
      </c>
    </row>
    <row r="3" spans="1:3" x14ac:dyDescent="0.3">
      <c r="A3" s="3" t="s">
        <v>13</v>
      </c>
    </row>
    <row r="4" spans="1:3" x14ac:dyDescent="0.3">
      <c r="A4" s="6" t="s">
        <v>14</v>
      </c>
      <c r="B4" s="7">
        <f>COUNTIFS(Sessions!$N$2:$N$16,"Yes")</f>
        <v>5</v>
      </c>
      <c r="C4" s="8" t="s">
        <v>15</v>
      </c>
    </row>
    <row r="5" spans="1:3" x14ac:dyDescent="0.3">
      <c r="A5" s="6" t="s">
        <v>16</v>
      </c>
      <c r="B5" s="7">
        <f>COUNTIFS(Sessions!$N$2:$N$16,"Yes",Sessions!$J$2:$J$16,"Y")</f>
        <v>3</v>
      </c>
      <c r="C5" s="8" t="s">
        <v>17</v>
      </c>
    </row>
    <row r="6" spans="1:3" x14ac:dyDescent="0.3">
      <c r="A6" s="6" t="s">
        <v>18</v>
      </c>
      <c r="B6" s="7">
        <f>COUNTIFS(Sessions!$N$2:$N$16,"Yes",Sessions!$K$2:$K$16,"Y")</f>
        <v>3</v>
      </c>
      <c r="C6" s="8" t="s">
        <v>17</v>
      </c>
    </row>
    <row r="7" spans="1:3" x14ac:dyDescent="0.3">
      <c r="A7" s="6" t="s">
        <v>19</v>
      </c>
      <c r="B7" s="7">
        <f>COUNTIFS(Sessions!$N$2:$N$16,"Yes",Sessions!$M$2:$M$16,"Y")</f>
        <v>0</v>
      </c>
      <c r="C7" s="8" t="s">
        <v>20</v>
      </c>
    </row>
    <row r="8" spans="1:3" x14ac:dyDescent="0.3">
      <c r="A8" s="6" t="s">
        <v>21</v>
      </c>
      <c r="B8" s="7">
        <f>COUNTIFS(Sessions!$N$2:$N$16,"Yes",Sessions!$L$2:$L$16,"Y")</f>
        <v>0</v>
      </c>
      <c r="C8" s="8" t="s">
        <v>22</v>
      </c>
    </row>
    <row r="9" spans="1:3" x14ac:dyDescent="0.3">
      <c r="A9" s="6" t="s">
        <v>23</v>
      </c>
      <c r="B9" s="7" t="str">
        <f>IF(AND(B4&gt;=5,B4&lt;=8,B5&gt;=2,B6&gt;=2,B7=0),"Met","NOT met (5-8 participants, &gt;=2 donors, &gt;=2 searchers, 0 group members)")</f>
        <v>Met</v>
      </c>
      <c r="C9" s="8" t="s">
        <v>24</v>
      </c>
    </row>
    <row r="11" spans="1:3" x14ac:dyDescent="0.3">
      <c r="A11" s="3" t="s">
        <v>25</v>
      </c>
    </row>
    <row r="12" spans="1:3" x14ac:dyDescent="0.3">
      <c r="A12" s="6" t="s">
        <v>26</v>
      </c>
      <c r="B12" s="7">
        <f>COUNT(SUS!$L$2:$L$16)</f>
        <v>5</v>
      </c>
      <c r="C12" s="8" t="s">
        <v>27</v>
      </c>
    </row>
    <row r="14" spans="1:3" x14ac:dyDescent="0.3">
      <c r="A14" s="6" t="s">
        <v>28</v>
      </c>
      <c r="B14" s="9">
        <f>IF(B12=0,"",AVERAGE(SUS!$L$2:$L$16))</f>
        <v>70</v>
      </c>
      <c r="C14" s="8" t="s">
        <v>29</v>
      </c>
    </row>
    <row r="15" spans="1:3" x14ac:dyDescent="0.3">
      <c r="A15" s="6" t="s">
        <v>30</v>
      </c>
      <c r="B15" s="9">
        <f>IF(B12&lt;2,"",STDEV(SUS!$L$2:$L$16))</f>
        <v>9.8425098425147635</v>
      </c>
      <c r="C15" s="8" t="s">
        <v>31</v>
      </c>
    </row>
    <row r="16" spans="1:3" x14ac:dyDescent="0.3">
      <c r="A16" s="6" t="s">
        <v>32</v>
      </c>
      <c r="B16" s="9">
        <f>IF(B12=0,"",MIN(SUS!$L$2:$L$16))</f>
        <v>52.5</v>
      </c>
    </row>
    <row r="17" spans="1:3" x14ac:dyDescent="0.3">
      <c r="A17" s="6" t="s">
        <v>33</v>
      </c>
      <c r="B17" s="9">
        <f>IF(B12=0,"",MAX(SUS!$L$2:$L$16))</f>
        <v>75</v>
      </c>
    </row>
    <row r="18" spans="1:3" x14ac:dyDescent="0.3">
      <c r="A18" s="6" t="s">
        <v>34</v>
      </c>
      <c r="B18" s="7" t="str">
        <f>IF(B14="","",IF(B14&gt;=80.3,"Well above the ~68 average",IF(B14&gt;=68,"At or above the ~68 average",IF(B14&gt;=51,"Below the ~68 average","Poor (below ~51)"))))&amp;IF(B12&lt;10," - small sample (n&lt;10), interpret with caution","")</f>
        <v>At or above the ~68 average - small sample (n&lt;10), interpret with caution</v>
      </c>
      <c r="C18" s="8" t="s">
        <v>35</v>
      </c>
    </row>
    <row r="20" spans="1:3" x14ac:dyDescent="0.3">
      <c r="A20" s="3" t="s">
        <v>36</v>
      </c>
    </row>
    <row r="21" spans="1:3" x14ac:dyDescent="0.3">
      <c r="A21" s="6" t="s">
        <v>37</v>
      </c>
      <c r="B21" s="7">
        <f>COUNTIF('Task Metrics'!$C$2:$C$7,"&gt;0")</f>
        <v>6</v>
      </c>
      <c r="C21" s="8" t="s">
        <v>38</v>
      </c>
    </row>
    <row r="22" spans="1:3" x14ac:dyDescent="0.3">
      <c r="A22" s="6" t="s">
        <v>39</v>
      </c>
      <c r="B22" s="7">
        <f>SUM('Task Metrics'!$G$2:$G$7)</f>
        <v>0</v>
      </c>
      <c r="C22" s="8" t="s">
        <v>40</v>
      </c>
    </row>
    <row r="24" spans="1:3" x14ac:dyDescent="0.3">
      <c r="A24" s="3" t="s">
        <v>41</v>
      </c>
    </row>
    <row r="25" spans="1:3" x14ac:dyDescent="0.3">
      <c r="A25" s="6" t="s">
        <v>42</v>
      </c>
      <c r="B25" s="7">
        <f>COUNTIF(Issues!$A$2:$A$100,"WA-*")</f>
        <v>4</v>
      </c>
    </row>
    <row r="26" spans="1:3" x14ac:dyDescent="0.3">
      <c r="A26" s="6" t="s">
        <v>43</v>
      </c>
      <c r="B26" s="7">
        <f>COUNTIFS(Issues!$A$2:$A$100,"WA-*",Issues!$H$2:$H$100,"&gt;=3")</f>
        <v>3</v>
      </c>
    </row>
    <row r="27" spans="1:3" x14ac:dyDescent="0.3">
      <c r="A27" s="6" t="s">
        <v>44</v>
      </c>
      <c r="B27" s="7">
        <f>COUNTIFS(Issues!$A$2:$A$100,"WA-*",Issues!$H$2:$H$100,2)</f>
        <v>1</v>
      </c>
    </row>
    <row r="28" spans="1:3" x14ac:dyDescent="0.3">
      <c r="A28" s="6" t="s">
        <v>45</v>
      </c>
      <c r="B28" s="7">
        <f>COUNTIFS(Issues!$A$2:$A$100,"WA-*",Issues!$H$2:$H$100,"&lt;=1",Issues!$H$2:$H$100,"&lt;&gt;")</f>
        <v>0</v>
      </c>
    </row>
    <row r="29" spans="1:3" x14ac:dyDescent="0.3">
      <c r="A29" s="6" t="s">
        <v>46</v>
      </c>
      <c r="B29" s="7">
        <f>COUNTIFS(Issues!$A$2:$A$100,"CAND-*",Issues!$M$2:$M$100,"Needs verification")</f>
        <v>0</v>
      </c>
      <c r="C29" s="8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4" x14ac:dyDescent="0.3"/>
  <cols>
    <col min="1" max="1" width="7" customWidth="1"/>
    <col min="2" max="2" width="28" customWidth="1"/>
    <col min="3" max="19" width="13" customWidth="1"/>
  </cols>
  <sheetData>
    <row r="1" spans="1:19" ht="70.05" customHeight="1" x14ac:dyDescent="0.3">
      <c r="A1" s="10" t="s">
        <v>48</v>
      </c>
      <c r="B1" s="10" t="s">
        <v>49</v>
      </c>
      <c r="C1" s="10" t="s">
        <v>50</v>
      </c>
      <c r="D1" s="10" t="s">
        <v>51</v>
      </c>
      <c r="E1" s="10" t="s">
        <v>52</v>
      </c>
      <c r="F1" s="10" t="s">
        <v>53</v>
      </c>
      <c r="G1" s="10" t="s">
        <v>54</v>
      </c>
      <c r="H1" s="10" t="s">
        <v>55</v>
      </c>
      <c r="I1" s="10" t="s">
        <v>56</v>
      </c>
      <c r="J1" s="10" t="s">
        <v>57</v>
      </c>
      <c r="K1" s="10" t="s">
        <v>58</v>
      </c>
      <c r="L1" s="10" t="s">
        <v>59</v>
      </c>
      <c r="M1" s="10" t="s">
        <v>60</v>
      </c>
      <c r="N1" s="10" t="s">
        <v>61</v>
      </c>
      <c r="O1" s="10" t="s">
        <v>62</v>
      </c>
      <c r="P1" s="10" t="s">
        <v>63</v>
      </c>
      <c r="Q1" s="10" t="s">
        <v>64</v>
      </c>
      <c r="R1" s="10" t="s">
        <v>65</v>
      </c>
      <c r="S1" s="10" t="s">
        <v>66</v>
      </c>
    </row>
    <row r="2" spans="1:19" x14ac:dyDescent="0.3">
      <c r="A2" s="7" t="s">
        <v>67</v>
      </c>
      <c r="B2" s="7" t="s">
        <v>68</v>
      </c>
      <c r="C2" s="7">
        <f>COUNTIFS(Observations!$C$2:$C$200,$A2,Observations!$E$2:$E$200,"&lt;&gt;",Observations!$E$2:$E$200,"&lt;&gt;Not attempted")</f>
        <v>5</v>
      </c>
      <c r="D2" s="7">
        <f>COUNTIFS(Observations!$C$2:$C$200,$A2,Observations!$E$2:$E$200,"Completed unaided")</f>
        <v>5</v>
      </c>
      <c r="E2" s="7">
        <f>COUNTIFS(Observations!$C$2:$C$200,$A2,Observations!$E$2:$E$200,"Completed with assistance")</f>
        <v>0</v>
      </c>
      <c r="F2" s="7">
        <f>COUNTIFS(Observations!$C$2:$C$200,$A2,Observations!$E$2:$E$200,"Abandoned")</f>
        <v>0</v>
      </c>
      <c r="G2" s="7">
        <f>COUNTIFS(Observations!$C$2:$C$200,$A2,Observations!$E$2:$E$200,"Application-blocked")</f>
        <v>0</v>
      </c>
      <c r="H2" s="11">
        <f t="shared" ref="H2:H7" si="0">IF(C2=0,"",D2/C2)</f>
        <v>1</v>
      </c>
      <c r="I2" s="11">
        <f t="shared" ref="I2:I7" si="1">IF(C2=0,"",E2/C2)</f>
        <v>0</v>
      </c>
      <c r="J2" s="11">
        <f t="shared" ref="J2:J7" si="2">IF(C2=0,"",(D2+E2)/C2)</f>
        <v>1</v>
      </c>
      <c r="K2" s="11">
        <f t="shared" ref="K2:K7" si="3">IF(C2=0,"",F2/C2)</f>
        <v>0</v>
      </c>
      <c r="L2" s="11">
        <f t="shared" ref="L2:L7" si="4">IF(C2-G2&lt;=0,"",D2/(C2-G2))</f>
        <v>1</v>
      </c>
      <c r="M2" s="9">
        <f>IF(COUNTIFS(Observations!$C$2:$C$200,$A2,Observations!$E$2:$E$200,"Completed unaided",Observations!$J$2:$J$200,"&gt;=0")=0,"",SUMIFS(Observations!$J$2:$J$200,Observations!$C$2:$C$200,$A2,Observations!$E$2:$E$200,"Completed unaided")/COUNTIFS(Observations!$C$2:$C$200,$A2,Observations!$E$2:$E$200,"Completed unaided",Observations!$J$2:$J$200,"&gt;=0"))</f>
        <v>21.2</v>
      </c>
      <c r="N2" s="9">
        <f>IF(COUNTIFS(Observations!$C$2:$C$200,$A2,Observations!$E$2:$E$200,"Completed*",Observations!$J$2:$J$200,"&gt;=0")=0,"",SUMIFS(Observations!$J$2:$J$200,Observations!$C$2:$C$200,$A2,Observations!$E$2:$E$200,"Completed*")/COUNTIFS(Observations!$C$2:$C$200,$A2,Observations!$E$2:$E$200,"Completed*",Observations!$J$2:$J$200,"&gt;=0"))</f>
        <v>21.2</v>
      </c>
      <c r="O2" s="7">
        <f>SUMIFS(Observations!$K$2:$K$200,Observations!$C$2:$C$200,$A2)</f>
        <v>0</v>
      </c>
      <c r="P2" s="9">
        <f t="shared" ref="P2:P7" si="5">IF(C2=0,"",O2/C2)</f>
        <v>0</v>
      </c>
      <c r="Q2" s="7">
        <f>SUMIFS(Observations!$M$2:$M$200,Observations!$C$2:$C$200,$A2)</f>
        <v>0</v>
      </c>
      <c r="R2" s="9">
        <f>IF(S2=0,"",SUMIFS(Observations!$P$2:$P$200,Observations!$C$2:$C$200,$A2,Observations!$P$2:$P$200,"&gt;=1")/S2)</f>
        <v>7</v>
      </c>
      <c r="S2" s="7">
        <f>COUNTIFS(Observations!$C$2:$C$200,$A2,Observations!$P$2:$P$200,"&gt;=1")</f>
        <v>5</v>
      </c>
    </row>
    <row r="3" spans="1:19" x14ac:dyDescent="0.3">
      <c r="A3" s="7" t="s">
        <v>69</v>
      </c>
      <c r="B3" s="7" t="s">
        <v>70</v>
      </c>
      <c r="C3" s="7">
        <f>COUNTIFS(Observations!$C$2:$C$200,$A3,Observations!$E$2:$E$200,"&lt;&gt;",Observations!$E$2:$E$200,"&lt;&gt;Not attempted")</f>
        <v>5</v>
      </c>
      <c r="D3" s="7">
        <f>COUNTIFS(Observations!$C$2:$C$200,$A3,Observations!$E$2:$E$200,"Completed unaided")</f>
        <v>4</v>
      </c>
      <c r="E3" s="7">
        <f>COUNTIFS(Observations!$C$2:$C$200,$A3,Observations!$E$2:$E$200,"Completed with assistance")</f>
        <v>1</v>
      </c>
      <c r="F3" s="7">
        <f>COUNTIFS(Observations!$C$2:$C$200,$A3,Observations!$E$2:$E$200,"Abandoned")</f>
        <v>0</v>
      </c>
      <c r="G3" s="7">
        <f>COUNTIFS(Observations!$C$2:$C$200,$A3,Observations!$E$2:$E$200,"Application-blocked")</f>
        <v>0</v>
      </c>
      <c r="H3" s="11">
        <f t="shared" si="0"/>
        <v>0.8</v>
      </c>
      <c r="I3" s="11">
        <f t="shared" si="1"/>
        <v>0.2</v>
      </c>
      <c r="J3" s="11">
        <f t="shared" si="2"/>
        <v>1</v>
      </c>
      <c r="K3" s="11">
        <f t="shared" si="3"/>
        <v>0</v>
      </c>
      <c r="L3" s="11">
        <f t="shared" si="4"/>
        <v>0.8</v>
      </c>
      <c r="M3" s="9">
        <f>IF(COUNTIFS(Observations!$C$2:$C$200,$A3,Observations!$E$2:$E$200,"Completed unaided",Observations!$J$2:$J$200,"&gt;=0")=0,"",SUMIFS(Observations!$J$2:$J$200,Observations!$C$2:$C$200,$A3,Observations!$E$2:$E$200,"Completed unaided")/COUNTIFS(Observations!$C$2:$C$200,$A3,Observations!$E$2:$E$200,"Completed unaided",Observations!$J$2:$J$200,"&gt;=0"))</f>
        <v>64.5</v>
      </c>
      <c r="N3" s="9">
        <f>IF(COUNTIFS(Observations!$C$2:$C$200,$A3,Observations!$E$2:$E$200,"Completed*",Observations!$J$2:$J$200,"&gt;=0")=0,"",SUMIFS(Observations!$J$2:$J$200,Observations!$C$2:$C$200,$A3,Observations!$E$2:$E$200,"Completed*")/COUNTIFS(Observations!$C$2:$C$200,$A3,Observations!$E$2:$E$200,"Completed*",Observations!$J$2:$J$200,"&gt;=0"))</f>
        <v>68.400000000000006</v>
      </c>
      <c r="O3" s="7">
        <f>SUMIFS(Observations!$K$2:$K$200,Observations!$C$2:$C$200,$A3)</f>
        <v>2</v>
      </c>
      <c r="P3" s="9">
        <f t="shared" si="5"/>
        <v>0.4</v>
      </c>
      <c r="Q3" s="7">
        <f>SUMIFS(Observations!$M$2:$M$200,Observations!$C$2:$C$200,$A3)</f>
        <v>1</v>
      </c>
      <c r="R3" s="9">
        <f>IF(S3=0,"",SUMIFS(Observations!$P$2:$P$200,Observations!$C$2:$C$200,$A3,Observations!$P$2:$P$200,"&gt;=1")/S3)</f>
        <v>5.4</v>
      </c>
      <c r="S3" s="7">
        <f>COUNTIFS(Observations!$C$2:$C$200,$A3,Observations!$P$2:$P$200,"&gt;=1")</f>
        <v>5</v>
      </c>
    </row>
    <row r="4" spans="1:19" x14ac:dyDescent="0.3">
      <c r="A4" s="7" t="s">
        <v>71</v>
      </c>
      <c r="B4" s="7" t="s">
        <v>72</v>
      </c>
      <c r="C4" s="7">
        <f>COUNTIFS(Observations!$C$2:$C$200,$A4,Observations!$E$2:$E$200,"&lt;&gt;",Observations!$E$2:$E$200,"&lt;&gt;Not attempted")</f>
        <v>5</v>
      </c>
      <c r="D4" s="7">
        <f>COUNTIFS(Observations!$C$2:$C$200,$A4,Observations!$E$2:$E$200,"Completed unaided")</f>
        <v>3</v>
      </c>
      <c r="E4" s="7">
        <f>COUNTIFS(Observations!$C$2:$C$200,$A4,Observations!$E$2:$E$200,"Completed with assistance")</f>
        <v>2</v>
      </c>
      <c r="F4" s="7">
        <f>COUNTIFS(Observations!$C$2:$C$200,$A4,Observations!$E$2:$E$200,"Abandoned")</f>
        <v>0</v>
      </c>
      <c r="G4" s="7">
        <f>COUNTIFS(Observations!$C$2:$C$200,$A4,Observations!$E$2:$E$200,"Application-blocked")</f>
        <v>0</v>
      </c>
      <c r="H4" s="11">
        <f t="shared" si="0"/>
        <v>0.6</v>
      </c>
      <c r="I4" s="11">
        <f t="shared" si="1"/>
        <v>0.4</v>
      </c>
      <c r="J4" s="11">
        <f t="shared" si="2"/>
        <v>1</v>
      </c>
      <c r="K4" s="11">
        <f t="shared" si="3"/>
        <v>0</v>
      </c>
      <c r="L4" s="11">
        <f t="shared" si="4"/>
        <v>0.6</v>
      </c>
      <c r="M4" s="9">
        <f>IF(COUNTIFS(Observations!$C$2:$C$200,$A4,Observations!$E$2:$E$200,"Completed unaided",Observations!$J$2:$J$200,"&gt;=0")=0,"",SUMIFS(Observations!$J$2:$J$200,Observations!$C$2:$C$200,$A4,Observations!$E$2:$E$200,"Completed unaided")/COUNTIFS(Observations!$C$2:$C$200,$A4,Observations!$E$2:$E$200,"Completed unaided",Observations!$J$2:$J$200,"&gt;=0"))</f>
        <v>58.333333333333336</v>
      </c>
      <c r="N4" s="9">
        <f>IF(COUNTIFS(Observations!$C$2:$C$200,$A4,Observations!$E$2:$E$200,"Completed*",Observations!$J$2:$J$200,"&gt;=0")=0,"",SUMIFS(Observations!$J$2:$J$200,Observations!$C$2:$C$200,$A4,Observations!$E$2:$E$200,"Completed*")/COUNTIFS(Observations!$C$2:$C$200,$A4,Observations!$E$2:$E$200,"Completed*",Observations!$J$2:$J$200,"&gt;=0"))</f>
        <v>66.599999999999994</v>
      </c>
      <c r="O4" s="7">
        <f>SUMIFS(Observations!$K$2:$K$200,Observations!$C$2:$C$200,$A4)</f>
        <v>2</v>
      </c>
      <c r="P4" s="9">
        <f t="shared" si="5"/>
        <v>0.4</v>
      </c>
      <c r="Q4" s="7">
        <f>SUMIFS(Observations!$M$2:$M$200,Observations!$C$2:$C$200,$A4)</f>
        <v>2</v>
      </c>
      <c r="R4" s="9">
        <f>IF(S4=0,"",SUMIFS(Observations!$P$2:$P$200,Observations!$C$2:$C$200,$A4,Observations!$P$2:$P$200,"&gt;=1")/S4)</f>
        <v>4.5999999999999996</v>
      </c>
      <c r="S4" s="7">
        <f>COUNTIFS(Observations!$C$2:$C$200,$A4,Observations!$P$2:$P$200,"&gt;=1")</f>
        <v>5</v>
      </c>
    </row>
    <row r="5" spans="1:19" x14ac:dyDescent="0.3">
      <c r="A5" s="7" t="s">
        <v>73</v>
      </c>
      <c r="B5" s="7" t="s">
        <v>74</v>
      </c>
      <c r="C5" s="7">
        <f>COUNTIFS(Observations!$C$2:$C$200,$A5,Observations!$E$2:$E$200,"&lt;&gt;",Observations!$E$2:$E$200,"&lt;&gt;Not attempted")</f>
        <v>5</v>
      </c>
      <c r="D5" s="7">
        <f>COUNTIFS(Observations!$C$2:$C$200,$A5,Observations!$E$2:$E$200,"Completed unaided")</f>
        <v>0</v>
      </c>
      <c r="E5" s="7">
        <f>COUNTIFS(Observations!$C$2:$C$200,$A5,Observations!$E$2:$E$200,"Completed with assistance")</f>
        <v>4</v>
      </c>
      <c r="F5" s="7">
        <f>COUNTIFS(Observations!$C$2:$C$200,$A5,Observations!$E$2:$E$200,"Abandoned")</f>
        <v>1</v>
      </c>
      <c r="G5" s="7">
        <f>COUNTIFS(Observations!$C$2:$C$200,$A5,Observations!$E$2:$E$200,"Application-blocked")</f>
        <v>0</v>
      </c>
      <c r="H5" s="11">
        <f t="shared" si="0"/>
        <v>0</v>
      </c>
      <c r="I5" s="11">
        <f t="shared" si="1"/>
        <v>0.8</v>
      </c>
      <c r="J5" s="11">
        <f t="shared" si="2"/>
        <v>0.8</v>
      </c>
      <c r="K5" s="11">
        <f t="shared" si="3"/>
        <v>0.2</v>
      </c>
      <c r="L5" s="11">
        <f t="shared" si="4"/>
        <v>0</v>
      </c>
      <c r="M5" s="9" t="str">
        <f>IF(COUNTIFS(Observations!$C$2:$C$200,$A5,Observations!$E$2:$E$200,"Completed unaided",Observations!$J$2:$J$200,"&gt;=0")=0,"",SUMIFS(Observations!$J$2:$J$200,Observations!$C$2:$C$200,$A5,Observations!$E$2:$E$200,"Completed unaided")/COUNTIFS(Observations!$C$2:$C$200,$A5,Observations!$E$2:$E$200,"Completed unaided",Observations!$J$2:$J$200,"&gt;=0"))</f>
        <v/>
      </c>
      <c r="N5" s="9">
        <f>IF(COUNTIFS(Observations!$C$2:$C$200,$A5,Observations!$E$2:$E$200,"Completed*",Observations!$J$2:$J$200,"&gt;=0")=0,"",SUMIFS(Observations!$J$2:$J$200,Observations!$C$2:$C$200,$A5,Observations!$E$2:$E$200,"Completed*")/COUNTIFS(Observations!$C$2:$C$200,$A5,Observations!$E$2:$E$200,"Completed*",Observations!$J$2:$J$200,"&gt;=0"))</f>
        <v>88.25</v>
      </c>
      <c r="O5" s="7">
        <f>SUMIFS(Observations!$K$2:$K$200,Observations!$C$2:$C$200,$A5)</f>
        <v>9</v>
      </c>
      <c r="P5" s="9">
        <f t="shared" si="5"/>
        <v>1.8</v>
      </c>
      <c r="Q5" s="7">
        <f>SUMIFS(Observations!$M$2:$M$200,Observations!$C$2:$C$200,$A5)</f>
        <v>5</v>
      </c>
      <c r="R5" s="9">
        <f>IF(S5=0,"",SUMIFS(Observations!$P$2:$P$200,Observations!$C$2:$C$200,$A5,Observations!$P$2:$P$200,"&gt;=1")/S5)</f>
        <v>3.2</v>
      </c>
      <c r="S5" s="7">
        <f>COUNTIFS(Observations!$C$2:$C$200,$A5,Observations!$P$2:$P$200,"&gt;=1")</f>
        <v>5</v>
      </c>
    </row>
    <row r="6" spans="1:19" x14ac:dyDescent="0.3">
      <c r="A6" s="7" t="s">
        <v>75</v>
      </c>
      <c r="B6" s="7" t="s">
        <v>76</v>
      </c>
      <c r="C6" s="7">
        <f>COUNTIFS(Observations!$C$2:$C$200,$A6,Observations!$E$2:$E$200,"&lt;&gt;",Observations!$E$2:$E$200,"&lt;&gt;Not attempted")</f>
        <v>5</v>
      </c>
      <c r="D6" s="7">
        <f>COUNTIFS(Observations!$C$2:$C$200,$A6,Observations!$E$2:$E$200,"Completed unaided")</f>
        <v>5</v>
      </c>
      <c r="E6" s="7">
        <f>COUNTIFS(Observations!$C$2:$C$200,$A6,Observations!$E$2:$E$200,"Completed with assistance")</f>
        <v>0</v>
      </c>
      <c r="F6" s="7">
        <f>COUNTIFS(Observations!$C$2:$C$200,$A6,Observations!$E$2:$E$200,"Abandoned")</f>
        <v>0</v>
      </c>
      <c r="G6" s="7">
        <f>COUNTIFS(Observations!$C$2:$C$200,$A6,Observations!$E$2:$E$200,"Application-blocked")</f>
        <v>0</v>
      </c>
      <c r="H6" s="11">
        <f t="shared" si="0"/>
        <v>1</v>
      </c>
      <c r="I6" s="11">
        <f t="shared" si="1"/>
        <v>0</v>
      </c>
      <c r="J6" s="11">
        <f t="shared" si="2"/>
        <v>1</v>
      </c>
      <c r="K6" s="11">
        <f t="shared" si="3"/>
        <v>0</v>
      </c>
      <c r="L6" s="11">
        <f t="shared" si="4"/>
        <v>1</v>
      </c>
      <c r="M6" s="9">
        <f>IF(COUNTIFS(Observations!$C$2:$C$200,$A6,Observations!$E$2:$E$200,"Completed unaided",Observations!$J$2:$J$200,"&gt;=0")=0,"",SUMIFS(Observations!$J$2:$J$200,Observations!$C$2:$C$200,$A6,Observations!$E$2:$E$200,"Completed unaided")/COUNTIFS(Observations!$C$2:$C$200,$A6,Observations!$E$2:$E$200,"Completed unaided",Observations!$J$2:$J$200,"&gt;=0"))</f>
        <v>45.2</v>
      </c>
      <c r="N6" s="9">
        <f>IF(COUNTIFS(Observations!$C$2:$C$200,$A6,Observations!$E$2:$E$200,"Completed*",Observations!$J$2:$J$200,"&gt;=0")=0,"",SUMIFS(Observations!$J$2:$J$200,Observations!$C$2:$C$200,$A6,Observations!$E$2:$E$200,"Completed*")/COUNTIFS(Observations!$C$2:$C$200,$A6,Observations!$E$2:$E$200,"Completed*",Observations!$J$2:$J$200,"&gt;=0"))</f>
        <v>45.2</v>
      </c>
      <c r="O6" s="7">
        <f>SUMIFS(Observations!$K$2:$K$200,Observations!$C$2:$C$200,$A6)</f>
        <v>0</v>
      </c>
      <c r="P6" s="9">
        <f t="shared" si="5"/>
        <v>0</v>
      </c>
      <c r="Q6" s="7">
        <f>SUMIFS(Observations!$M$2:$M$200,Observations!$C$2:$C$200,$A6)</f>
        <v>0</v>
      </c>
      <c r="R6" s="9">
        <f>IF(S6=0,"",SUMIFS(Observations!$P$2:$P$200,Observations!$C$2:$C$200,$A6,Observations!$P$2:$P$200,"&gt;=1")/S6)</f>
        <v>6</v>
      </c>
      <c r="S6" s="7">
        <f>COUNTIFS(Observations!$C$2:$C$200,$A6,Observations!$P$2:$P$200,"&gt;=1")</f>
        <v>5</v>
      </c>
    </row>
    <row r="7" spans="1:19" x14ac:dyDescent="0.3">
      <c r="A7" s="7" t="s">
        <v>77</v>
      </c>
      <c r="B7" s="7" t="s">
        <v>78</v>
      </c>
      <c r="C7" s="7">
        <f>COUNTIFS(Observations!$C$2:$C$200,$A7,Observations!$E$2:$E$200,"&lt;&gt;",Observations!$E$2:$E$200,"&lt;&gt;Not attempted")</f>
        <v>5</v>
      </c>
      <c r="D7" s="7">
        <f>COUNTIFS(Observations!$C$2:$C$200,$A7,Observations!$E$2:$E$200,"Completed unaided")</f>
        <v>2</v>
      </c>
      <c r="E7" s="7">
        <f>COUNTIFS(Observations!$C$2:$C$200,$A7,Observations!$E$2:$E$200,"Completed with assistance")</f>
        <v>3</v>
      </c>
      <c r="F7" s="7">
        <f>COUNTIFS(Observations!$C$2:$C$200,$A7,Observations!$E$2:$E$200,"Abandoned")</f>
        <v>0</v>
      </c>
      <c r="G7" s="7">
        <f>COUNTIFS(Observations!$C$2:$C$200,$A7,Observations!$E$2:$E$200,"Application-blocked")</f>
        <v>0</v>
      </c>
      <c r="H7" s="11">
        <f t="shared" si="0"/>
        <v>0.4</v>
      </c>
      <c r="I7" s="11">
        <f t="shared" si="1"/>
        <v>0.6</v>
      </c>
      <c r="J7" s="11">
        <f t="shared" si="2"/>
        <v>1</v>
      </c>
      <c r="K7" s="11">
        <f t="shared" si="3"/>
        <v>0</v>
      </c>
      <c r="L7" s="11">
        <f t="shared" si="4"/>
        <v>0.4</v>
      </c>
      <c r="M7" s="9">
        <f>IF(COUNTIFS(Observations!$C$2:$C$200,$A7,Observations!$E$2:$E$200,"Completed unaided",Observations!$J$2:$J$200,"&gt;=0")=0,"",SUMIFS(Observations!$J$2:$J$200,Observations!$C$2:$C$200,$A7,Observations!$E$2:$E$200,"Completed unaided")/COUNTIFS(Observations!$C$2:$C$200,$A7,Observations!$E$2:$E$200,"Completed unaided",Observations!$J$2:$J$200,"&gt;=0"))</f>
        <v>45.5</v>
      </c>
      <c r="N7" s="9">
        <f>IF(COUNTIFS(Observations!$C$2:$C$200,$A7,Observations!$E$2:$E$200,"Completed*",Observations!$J$2:$J$200,"&gt;=0")=0,"",SUMIFS(Observations!$J$2:$J$200,Observations!$C$2:$C$200,$A7,Observations!$E$2:$E$200,"Completed*")/COUNTIFS(Observations!$C$2:$C$200,$A7,Observations!$E$2:$E$200,"Completed*",Observations!$J$2:$J$200,"&gt;=0"))</f>
        <v>54.2</v>
      </c>
      <c r="O7" s="7">
        <f>SUMIFS(Observations!$K$2:$K$200,Observations!$C$2:$C$200,$A7)</f>
        <v>3</v>
      </c>
      <c r="P7" s="9">
        <f t="shared" si="5"/>
        <v>0.6</v>
      </c>
      <c r="Q7" s="7">
        <f>SUMIFS(Observations!$M$2:$M$200,Observations!$C$2:$C$200,$A7)</f>
        <v>3</v>
      </c>
      <c r="R7" s="9">
        <f>IF(S7=0,"",SUMIFS(Observations!$P$2:$P$200,Observations!$C$2:$C$200,$A7,Observations!$P$2:$P$200,"&gt;=1")/S7)</f>
        <v>4.8</v>
      </c>
      <c r="S7" s="7">
        <f>COUNTIFS(Observations!$C$2:$C$200,$A7,Observations!$P$2:$P$200,"&gt;=1")</f>
        <v>5</v>
      </c>
    </row>
    <row r="9" spans="1:19" x14ac:dyDescent="0.3">
      <c r="A9" s="8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/>
  </sheetViews>
  <sheetFormatPr defaultRowHeight="14.4" x14ac:dyDescent="0.3"/>
  <cols>
    <col min="1" max="1" width="8" customWidth="1"/>
    <col min="2" max="2" width="24" customWidth="1"/>
    <col min="3" max="3" width="16" customWidth="1"/>
    <col min="4" max="5" width="14" customWidth="1"/>
    <col min="6" max="6" width="12" customWidth="1"/>
  </cols>
  <sheetData>
    <row r="1" spans="1:6" ht="33.6" customHeight="1" x14ac:dyDescent="0.3">
      <c r="A1" s="10" t="s">
        <v>48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</row>
    <row r="2" spans="1:6" x14ac:dyDescent="0.3">
      <c r="A2" s="7" t="s">
        <v>67</v>
      </c>
      <c r="B2" s="7" t="str">
        <f>IF('Task Metrics'!C2=0,"",'Task Metrics'!D2&amp;"/"&amp;'Task Metrics'!C2)</f>
        <v>5/5</v>
      </c>
      <c r="C2" s="7">
        <f>IF('Task Metrics'!M2="","",ROUND('Task Metrics'!M2,1))</f>
        <v>21.2</v>
      </c>
      <c r="D2" s="7">
        <f>IF('Task Metrics'!C2=0,"",'Task Metrics'!O2)</f>
        <v>0</v>
      </c>
      <c r="E2" s="7">
        <f>IF('Task Metrics'!C2=0,"",'Task Metrics'!Q2)</f>
        <v>0</v>
      </c>
      <c r="F2" s="7">
        <f>IF('Task Metrics'!R2="","",ROUND('Task Metrics'!R2,1))</f>
        <v>7</v>
      </c>
    </row>
    <row r="3" spans="1:6" x14ac:dyDescent="0.3">
      <c r="A3" s="7" t="s">
        <v>69</v>
      </c>
      <c r="B3" s="7" t="str">
        <f>IF('Task Metrics'!C3=0,"",'Task Metrics'!D3&amp;"/"&amp;'Task Metrics'!C3)</f>
        <v>4/5</v>
      </c>
      <c r="C3" s="7">
        <f>IF('Task Metrics'!M3="","",ROUND('Task Metrics'!M3,1))</f>
        <v>64.5</v>
      </c>
      <c r="D3" s="7">
        <f>IF('Task Metrics'!C3=0,"",'Task Metrics'!O3)</f>
        <v>2</v>
      </c>
      <c r="E3" s="7">
        <f>IF('Task Metrics'!C3=0,"",'Task Metrics'!Q3)</f>
        <v>1</v>
      </c>
      <c r="F3" s="7">
        <f>IF('Task Metrics'!R3="","",ROUND('Task Metrics'!R3,1))</f>
        <v>5.4</v>
      </c>
    </row>
    <row r="4" spans="1:6" x14ac:dyDescent="0.3">
      <c r="A4" s="7" t="s">
        <v>71</v>
      </c>
      <c r="B4" s="7" t="str">
        <f>IF('Task Metrics'!C4=0,"",'Task Metrics'!D4&amp;"/"&amp;'Task Metrics'!C4)</f>
        <v>3/5</v>
      </c>
      <c r="C4" s="7">
        <f>IF('Task Metrics'!M4="","",ROUND('Task Metrics'!M4,1))</f>
        <v>58.3</v>
      </c>
      <c r="D4" s="7">
        <f>IF('Task Metrics'!C4=0,"",'Task Metrics'!O4)</f>
        <v>2</v>
      </c>
      <c r="E4" s="7">
        <f>IF('Task Metrics'!C4=0,"",'Task Metrics'!Q4)</f>
        <v>2</v>
      </c>
      <c r="F4" s="7">
        <f>IF('Task Metrics'!R4="","",ROUND('Task Metrics'!R4,1))</f>
        <v>4.5999999999999996</v>
      </c>
    </row>
    <row r="5" spans="1:6" x14ac:dyDescent="0.3">
      <c r="A5" s="7" t="s">
        <v>73</v>
      </c>
      <c r="B5" s="7" t="str">
        <f>IF('Task Metrics'!C5=0,"",'Task Metrics'!D5&amp;"/"&amp;'Task Metrics'!C5)</f>
        <v>0/5</v>
      </c>
      <c r="C5" s="7" t="str">
        <f>IF('Task Metrics'!M5="","",ROUND('Task Metrics'!M5,1))</f>
        <v/>
      </c>
      <c r="D5" s="7">
        <f>IF('Task Metrics'!C5=0,"",'Task Metrics'!O5)</f>
        <v>9</v>
      </c>
      <c r="E5" s="7">
        <f>IF('Task Metrics'!C5=0,"",'Task Metrics'!Q5)</f>
        <v>5</v>
      </c>
      <c r="F5" s="7">
        <f>IF('Task Metrics'!R5="","",ROUND('Task Metrics'!R5,1))</f>
        <v>3.2</v>
      </c>
    </row>
    <row r="6" spans="1:6" x14ac:dyDescent="0.3">
      <c r="A6" s="7" t="s">
        <v>75</v>
      </c>
      <c r="B6" s="7" t="str">
        <f>IF('Task Metrics'!C6=0,"",'Task Metrics'!D6&amp;"/"&amp;'Task Metrics'!C6)</f>
        <v>5/5</v>
      </c>
      <c r="C6" s="7">
        <f>IF('Task Metrics'!M6="","",ROUND('Task Metrics'!M6,1))</f>
        <v>45.2</v>
      </c>
      <c r="D6" s="7">
        <f>IF('Task Metrics'!C6=0,"",'Task Metrics'!O6)</f>
        <v>0</v>
      </c>
      <c r="E6" s="7">
        <f>IF('Task Metrics'!C6=0,"",'Task Metrics'!Q6)</f>
        <v>0</v>
      </c>
      <c r="F6" s="7">
        <f>IF('Task Metrics'!R6="","",ROUND('Task Metrics'!R6,1))</f>
        <v>6</v>
      </c>
    </row>
    <row r="7" spans="1:6" x14ac:dyDescent="0.3">
      <c r="A7" s="7" t="s">
        <v>77</v>
      </c>
      <c r="B7" s="7" t="str">
        <f>IF('Task Metrics'!C7=0,"",'Task Metrics'!D7&amp;"/"&amp;'Task Metrics'!C7)</f>
        <v>2/5</v>
      </c>
      <c r="C7" s="7">
        <f>IF('Task Metrics'!M7="","",ROUND('Task Metrics'!M7,1))</f>
        <v>45.5</v>
      </c>
      <c r="D7" s="7">
        <f>IF('Task Metrics'!C7=0,"",'Task Metrics'!O7)</f>
        <v>3</v>
      </c>
      <c r="E7" s="7">
        <f>IF('Task Metrics'!C7=0,"",'Task Metrics'!Q7)</f>
        <v>3</v>
      </c>
      <c r="F7" s="7">
        <f>IF('Task Metrics'!R7="","",ROUND('Task Metrics'!R7,1))</f>
        <v>4.8</v>
      </c>
    </row>
    <row r="8" spans="1:6" x14ac:dyDescent="0.3">
      <c r="A8" s="7" t="s">
        <v>85</v>
      </c>
      <c r="B8" s="7" t="str">
        <f>IF(Summary!B14="","",ROUND(Summary!B14,1)&amp;" ("&amp;ROUND(Summary!B16,1)&amp;" - "&amp;ROUND(Summary!B17,1)&amp;")")</f>
        <v>70 (52.5 - 75)</v>
      </c>
      <c r="C8" s="7"/>
      <c r="D8" s="7"/>
      <c r="E8" s="7"/>
      <c r="F8" s="7"/>
    </row>
    <row r="10" spans="1:6" x14ac:dyDescent="0.3">
      <c r="A10" s="8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12" workbookViewId="0"/>
  </sheetViews>
  <sheetFormatPr defaultRowHeight="14.4" x14ac:dyDescent="0.3"/>
  <sheetData>
    <row r="1" spans="1:1" ht="17.399999999999999" x14ac:dyDescent="0.3">
      <c r="A1" s="1" t="s">
        <v>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12" customWidth="1"/>
    <col min="2" max="2" width="13" customWidth="1"/>
    <col min="3" max="3" width="22" customWidth="1"/>
    <col min="4" max="4" width="26" customWidth="1"/>
    <col min="5" max="5" width="20" customWidth="1"/>
    <col min="6" max="6" width="16" customWidth="1"/>
    <col min="7" max="7" width="22" customWidth="1"/>
    <col min="8" max="8" width="11" customWidth="1"/>
    <col min="9" max="10" width="12" customWidth="1"/>
    <col min="11" max="11" width="15" customWidth="1"/>
    <col min="12" max="12" width="14" customWidth="1"/>
    <col min="13" max="13" width="11" customWidth="1"/>
    <col min="14" max="14" width="12" customWidth="1"/>
    <col min="15" max="15" width="13" customWidth="1"/>
    <col min="16" max="17" width="11" customWidth="1"/>
    <col min="18" max="18" width="18" customWidth="1"/>
    <col min="19" max="19" width="26" customWidth="1"/>
    <col min="20" max="20" width="36" customWidth="1"/>
  </cols>
  <sheetData>
    <row r="1" spans="1:20" ht="58.05" customHeight="1" x14ac:dyDescent="0.3">
      <c r="A1" s="10" t="s">
        <v>88</v>
      </c>
      <c r="B1" s="10" t="s">
        <v>89</v>
      </c>
      <c r="C1" s="10" t="s">
        <v>90</v>
      </c>
      <c r="D1" s="10" t="s">
        <v>91</v>
      </c>
      <c r="E1" s="10" t="s">
        <v>92</v>
      </c>
      <c r="F1" s="10" t="s">
        <v>93</v>
      </c>
      <c r="G1" s="10" t="s">
        <v>94</v>
      </c>
      <c r="H1" s="10" t="s">
        <v>95</v>
      </c>
      <c r="I1" s="10" t="s">
        <v>96</v>
      </c>
      <c r="J1" s="10" t="s">
        <v>97</v>
      </c>
      <c r="K1" s="10" t="s">
        <v>98</v>
      </c>
      <c r="L1" s="10" t="s">
        <v>99</v>
      </c>
      <c r="M1" s="10" t="s">
        <v>100</v>
      </c>
      <c r="N1" s="10" t="s">
        <v>101</v>
      </c>
      <c r="O1" s="10" t="s">
        <v>102</v>
      </c>
      <c r="P1" s="10" t="s">
        <v>103</v>
      </c>
      <c r="Q1" s="10" t="s">
        <v>104</v>
      </c>
      <c r="R1" s="10" t="s">
        <v>105</v>
      </c>
      <c r="S1" s="10" t="s">
        <v>106</v>
      </c>
      <c r="T1" s="10" t="s">
        <v>107</v>
      </c>
    </row>
    <row r="2" spans="1:20" ht="66" x14ac:dyDescent="0.3">
      <c r="A2" s="12" t="s">
        <v>108</v>
      </c>
      <c r="B2" s="12">
        <v>46307</v>
      </c>
      <c r="C2" s="12" t="s">
        <v>109</v>
      </c>
      <c r="D2" s="12" t="s">
        <v>110</v>
      </c>
      <c r="E2" s="12" t="s">
        <v>111</v>
      </c>
      <c r="F2" s="12" t="s">
        <v>112</v>
      </c>
      <c r="G2" s="12" t="s">
        <v>113</v>
      </c>
      <c r="H2" s="12" t="s">
        <v>114</v>
      </c>
      <c r="I2" s="12" t="s">
        <v>115</v>
      </c>
      <c r="J2" s="12" t="s">
        <v>116</v>
      </c>
      <c r="K2" s="12" t="s">
        <v>117</v>
      </c>
      <c r="L2" s="12" t="s">
        <v>117</v>
      </c>
      <c r="M2" s="12" t="s">
        <v>117</v>
      </c>
      <c r="N2" s="12" t="s">
        <v>118</v>
      </c>
      <c r="O2" s="12" t="s">
        <v>119</v>
      </c>
      <c r="P2" s="12" t="s">
        <v>119</v>
      </c>
      <c r="Q2" s="12" t="s">
        <v>120</v>
      </c>
      <c r="R2" s="13" t="s">
        <v>121</v>
      </c>
      <c r="S2" s="13" t="s">
        <v>118</v>
      </c>
      <c r="T2" s="12" t="s">
        <v>122</v>
      </c>
    </row>
    <row r="3" spans="1:20" ht="52.8" x14ac:dyDescent="0.3">
      <c r="A3" s="12" t="s">
        <v>123</v>
      </c>
      <c r="B3" s="12">
        <v>46307</v>
      </c>
      <c r="C3" s="12" t="s">
        <v>109</v>
      </c>
      <c r="D3" s="12" t="s">
        <v>124</v>
      </c>
      <c r="E3" s="12" t="s">
        <v>111</v>
      </c>
      <c r="F3" s="12" t="s">
        <v>112</v>
      </c>
      <c r="G3" s="12" t="s">
        <v>113</v>
      </c>
      <c r="H3" s="12" t="s">
        <v>125</v>
      </c>
      <c r="I3" s="12" t="s">
        <v>126</v>
      </c>
      <c r="J3" s="12" t="s">
        <v>117</v>
      </c>
      <c r="K3" s="12" t="s">
        <v>116</v>
      </c>
      <c r="L3" s="12" t="s">
        <v>117</v>
      </c>
      <c r="M3" s="12" t="s">
        <v>117</v>
      </c>
      <c r="N3" s="12" t="s">
        <v>118</v>
      </c>
      <c r="O3" s="12" t="s">
        <v>119</v>
      </c>
      <c r="P3" s="12" t="s">
        <v>119</v>
      </c>
      <c r="Q3" s="12" t="s">
        <v>127</v>
      </c>
      <c r="R3" s="13" t="s">
        <v>128</v>
      </c>
      <c r="S3" s="13" t="s">
        <v>118</v>
      </c>
      <c r="T3" s="12" t="s">
        <v>122</v>
      </c>
    </row>
    <row r="4" spans="1:20" ht="52.8" x14ac:dyDescent="0.3">
      <c r="A4" s="12" t="s">
        <v>129</v>
      </c>
      <c r="B4" s="12">
        <v>46307</v>
      </c>
      <c r="C4" s="12" t="s">
        <v>109</v>
      </c>
      <c r="D4" s="12" t="s">
        <v>130</v>
      </c>
      <c r="E4" s="12" t="s">
        <v>111</v>
      </c>
      <c r="F4" s="12" t="s">
        <v>112</v>
      </c>
      <c r="G4" s="12" t="s">
        <v>113</v>
      </c>
      <c r="H4" s="12" t="s">
        <v>125</v>
      </c>
      <c r="I4" s="12" t="s">
        <v>126</v>
      </c>
      <c r="J4" s="12" t="s">
        <v>116</v>
      </c>
      <c r="K4" s="12" t="s">
        <v>116</v>
      </c>
      <c r="L4" s="12" t="s">
        <v>117</v>
      </c>
      <c r="M4" s="12" t="s">
        <v>117</v>
      </c>
      <c r="N4" s="12" t="s">
        <v>118</v>
      </c>
      <c r="O4" s="12" t="s">
        <v>119</v>
      </c>
      <c r="P4" s="12" t="s">
        <v>119</v>
      </c>
      <c r="Q4" s="12" t="s">
        <v>131</v>
      </c>
      <c r="R4" s="13" t="s">
        <v>132</v>
      </c>
      <c r="S4" s="13" t="s">
        <v>118</v>
      </c>
      <c r="T4" s="12" t="s">
        <v>122</v>
      </c>
    </row>
    <row r="5" spans="1:20" ht="52.8" x14ac:dyDescent="0.3">
      <c r="A5" s="12" t="s">
        <v>133</v>
      </c>
      <c r="B5" s="12">
        <v>46307</v>
      </c>
      <c r="C5" s="12" t="s">
        <v>109</v>
      </c>
      <c r="D5" s="12" t="s">
        <v>134</v>
      </c>
      <c r="E5" s="12" t="s">
        <v>111</v>
      </c>
      <c r="F5" s="12" t="s">
        <v>112</v>
      </c>
      <c r="G5" s="12" t="s">
        <v>113</v>
      </c>
      <c r="H5" s="12" t="s">
        <v>135</v>
      </c>
      <c r="I5" s="12" t="s">
        <v>115</v>
      </c>
      <c r="J5" s="12" t="s">
        <v>117</v>
      </c>
      <c r="K5" s="12" t="s">
        <v>116</v>
      </c>
      <c r="L5" s="12" t="s">
        <v>117</v>
      </c>
      <c r="M5" s="12" t="s">
        <v>117</v>
      </c>
      <c r="N5" s="12" t="s">
        <v>118</v>
      </c>
      <c r="O5" s="12" t="s">
        <v>119</v>
      </c>
      <c r="P5" s="12" t="s">
        <v>119</v>
      </c>
      <c r="Q5" s="12" t="s">
        <v>136</v>
      </c>
      <c r="R5" s="13" t="s">
        <v>128</v>
      </c>
      <c r="S5" s="13" t="s">
        <v>118</v>
      </c>
      <c r="T5" s="12" t="s">
        <v>122</v>
      </c>
    </row>
    <row r="6" spans="1:20" ht="52.8" x14ac:dyDescent="0.3">
      <c r="A6" s="12" t="s">
        <v>137</v>
      </c>
      <c r="B6" s="12">
        <v>46307</v>
      </c>
      <c r="C6" s="12" t="s">
        <v>109</v>
      </c>
      <c r="D6" s="12" t="s">
        <v>138</v>
      </c>
      <c r="E6" s="12" t="s">
        <v>111</v>
      </c>
      <c r="F6" s="12" t="s">
        <v>112</v>
      </c>
      <c r="G6" s="12" t="s">
        <v>113</v>
      </c>
      <c r="H6" s="12" t="s">
        <v>114</v>
      </c>
      <c r="I6" s="12" t="s">
        <v>126</v>
      </c>
      <c r="J6" s="12" t="s">
        <v>116</v>
      </c>
      <c r="K6" s="12" t="s">
        <v>117</v>
      </c>
      <c r="L6" s="12" t="s">
        <v>117</v>
      </c>
      <c r="M6" s="12" t="s">
        <v>117</v>
      </c>
      <c r="N6" s="12" t="s">
        <v>118</v>
      </c>
      <c r="O6" s="12" t="s">
        <v>119</v>
      </c>
      <c r="P6" s="12" t="s">
        <v>119</v>
      </c>
      <c r="Q6" s="12" t="s">
        <v>139</v>
      </c>
      <c r="R6" s="13" t="s">
        <v>121</v>
      </c>
      <c r="S6" s="13" t="s">
        <v>118</v>
      </c>
      <c r="T6" s="12" t="s">
        <v>122</v>
      </c>
    </row>
    <row r="7" spans="1:20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3" t="str">
        <f t="shared" ref="R7:R16" si="0">IF(A7="","",IF(AND(J7="Y",K7="Y"),"Donor + searcher",IF(J7="Y","Donor",IF(K7="Y","Searcher","Neither"))))</f>
        <v/>
      </c>
      <c r="S7" s="13" t="str">
        <f t="shared" ref="S7:S16" si="1">IF(A7="","",IF(N7&lt;&gt;"Yes","NO CONSENT - do not use data",IF(M7="Y","GROUP MEMBER - exclude",IF(L7="Y","Prior prototype exposure","OK"))))</f>
        <v/>
      </c>
      <c r="T7" s="12"/>
    </row>
    <row r="8" spans="1:20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3" t="str">
        <f t="shared" si="0"/>
        <v/>
      </c>
      <c r="S8" s="13" t="str">
        <f t="shared" si="1"/>
        <v/>
      </c>
      <c r="T8" s="12"/>
    </row>
    <row r="9" spans="1:20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3" t="str">
        <f t="shared" si="0"/>
        <v/>
      </c>
      <c r="S9" s="13" t="str">
        <f t="shared" si="1"/>
        <v/>
      </c>
      <c r="T9" s="12"/>
    </row>
    <row r="10" spans="1:20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3" t="str">
        <f t="shared" si="0"/>
        <v/>
      </c>
      <c r="S10" s="13" t="str">
        <f t="shared" si="1"/>
        <v/>
      </c>
      <c r="T10" s="12"/>
    </row>
    <row r="11" spans="1:20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3" t="str">
        <f t="shared" si="0"/>
        <v/>
      </c>
      <c r="S11" s="13" t="str">
        <f t="shared" si="1"/>
        <v/>
      </c>
      <c r="T11" s="12"/>
    </row>
    <row r="12" spans="1:20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 t="str">
        <f t="shared" si="0"/>
        <v/>
      </c>
      <c r="S12" s="13" t="str">
        <f t="shared" si="1"/>
        <v/>
      </c>
      <c r="T12" s="12"/>
    </row>
    <row r="13" spans="1:20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 t="str">
        <f t="shared" si="0"/>
        <v/>
      </c>
      <c r="S13" s="13" t="str">
        <f t="shared" si="1"/>
        <v/>
      </c>
      <c r="T13" s="12"/>
    </row>
    <row r="14" spans="1:20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 t="str">
        <f t="shared" si="0"/>
        <v/>
      </c>
      <c r="S14" s="13" t="str">
        <f t="shared" si="1"/>
        <v/>
      </c>
      <c r="T14" s="12"/>
    </row>
    <row r="15" spans="1:20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3" t="str">
        <f t="shared" si="0"/>
        <v/>
      </c>
      <c r="S15" s="13" t="str">
        <f t="shared" si="1"/>
        <v/>
      </c>
      <c r="T15" s="12"/>
    </row>
    <row r="16" spans="1:20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3" t="str">
        <f t="shared" si="0"/>
        <v/>
      </c>
      <c r="S16" s="13" t="str">
        <f t="shared" si="1"/>
        <v/>
      </c>
      <c r="T16" s="12"/>
    </row>
  </sheetData>
  <dataValidations count="4">
    <dataValidation type="list" allowBlank="1" showErrorMessage="1" errorTitle="Invalid value" error="Pick a value from the drop-down list." sqref="H2:H16" xr:uid="{00000000-0002-0000-0500-000001000000}">
      <formula1>"18-24,25-34,35+"</formula1>
    </dataValidation>
    <dataValidation type="list" allowBlank="1" showErrorMessage="1" errorTitle="Invalid value" error="Pick a value from the drop-down list." sqref="I2:I16" xr:uid="{00000000-0002-0000-0500-000002000000}">
      <formula1>"Daily,Weekly"</formula1>
    </dataValidation>
    <dataValidation type="list" allowBlank="1" showErrorMessage="1" errorTitle="Invalid value" error="Pick a value from the drop-down list." sqref="J2:M16" xr:uid="{00000000-0002-0000-0500-000003000000}">
      <formula1>"Y,N"</formula1>
    </dataValidation>
    <dataValidation type="list" allowBlank="1" showErrorMessage="1" errorTitle="Invalid value" error="Pick a value from the drop-down list." sqref="N2:O16" xr:uid="{00000000-0002-0000-0500-000007000000}">
      <formula1>"Yes,No"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value" error="Pick a value from the drop-down list." xr:uid="{00000000-0002-0000-0500-000000000000}">
          <x14:formula1>
            <xm:f>Lists!$C$2:$C$5</xm:f>
          </x14:formula1>
          <xm:sqref>C2:C16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00"/>
  <sheetViews>
    <sheetView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4" x14ac:dyDescent="0.3"/>
  <cols>
    <col min="1" max="1" width="11" customWidth="1"/>
    <col min="2" max="2" width="16" customWidth="1"/>
    <col min="3" max="3" width="8" customWidth="1"/>
    <col min="4" max="5" width="24" customWidth="1"/>
    <col min="6" max="9" width="12" customWidth="1"/>
    <col min="10" max="10" width="10" customWidth="1"/>
    <col min="11" max="11" width="11" customWidth="1"/>
    <col min="12" max="12" width="12" customWidth="1"/>
    <col min="13" max="13" width="9" customWidth="1"/>
    <col min="14" max="14" width="11" customWidth="1"/>
    <col min="15" max="15" width="30" customWidth="1"/>
    <col min="16" max="16" width="8" customWidth="1"/>
    <col min="17" max="17" width="40" customWidth="1"/>
    <col min="18" max="18" width="30" customWidth="1"/>
    <col min="19" max="19" width="11" customWidth="1"/>
    <col min="20" max="20" width="22" customWidth="1"/>
    <col min="21" max="21" width="34" customWidth="1"/>
  </cols>
  <sheetData>
    <row r="1" spans="1:21" ht="70.05" customHeight="1" x14ac:dyDescent="0.3">
      <c r="A1" s="10" t="s">
        <v>88</v>
      </c>
      <c r="B1" s="10" t="s">
        <v>105</v>
      </c>
      <c r="C1" s="10" t="s">
        <v>140</v>
      </c>
      <c r="D1" s="10" t="s">
        <v>141</v>
      </c>
      <c r="E1" s="10" t="s">
        <v>142</v>
      </c>
      <c r="F1" s="10" t="s">
        <v>143</v>
      </c>
      <c r="G1" s="10" t="s">
        <v>144</v>
      </c>
      <c r="H1" s="10" t="s">
        <v>145</v>
      </c>
      <c r="I1" s="10" t="s">
        <v>146</v>
      </c>
      <c r="J1" s="10" t="s">
        <v>147</v>
      </c>
      <c r="K1" s="10" t="s">
        <v>148</v>
      </c>
      <c r="L1" s="10" t="s">
        <v>149</v>
      </c>
      <c r="M1" s="10" t="s">
        <v>150</v>
      </c>
      <c r="N1" s="10" t="s">
        <v>151</v>
      </c>
      <c r="O1" s="10" t="s">
        <v>152</v>
      </c>
      <c r="P1" s="10" t="s">
        <v>153</v>
      </c>
      <c r="Q1" s="10" t="s">
        <v>154</v>
      </c>
      <c r="R1" s="10" t="s">
        <v>155</v>
      </c>
      <c r="S1" s="10" t="s">
        <v>156</v>
      </c>
      <c r="T1" s="10" t="s">
        <v>157</v>
      </c>
      <c r="U1" s="10" t="s">
        <v>158</v>
      </c>
    </row>
    <row r="2" spans="1:21" ht="52.8" x14ac:dyDescent="0.3">
      <c r="A2" s="12" t="s">
        <v>108</v>
      </c>
      <c r="B2" s="13" t="str">
        <f>IF(A2="","",IFERROR(INDEX(Sessions!$R$2:$R$16,MATCH(A2,Sessions!$A$2:$A$16,0)),"?"))</f>
        <v>Proxy donor</v>
      </c>
      <c r="C2" s="12" t="s">
        <v>67</v>
      </c>
      <c r="D2" s="13" t="str">
        <f>IF(C2="","",IFERROR(INDEX(Tasks!$B$2:$B$7,MATCH(C2,Tasks!$A$2:$A$7,0)),"?"))</f>
        <v>Sign in</v>
      </c>
      <c r="E2" s="12" t="s">
        <v>51</v>
      </c>
      <c r="F2" s="14"/>
      <c r="G2" s="14"/>
      <c r="H2" s="13" t="str">
        <f t="shared" ref="H2:H33" si="0">IF(AND(ISNUMBER(F2),ISNUMBER(G2)),ROUND((G2-F2)*86400,0),"")</f>
        <v/>
      </c>
      <c r="I2" s="12">
        <v>24</v>
      </c>
      <c r="J2" s="13">
        <f t="shared" ref="J2:J33" si="1">IF(ISNUMBER(I2),I2,IF(ISNUMBER(H2),H2,""))</f>
        <v>24</v>
      </c>
      <c r="K2" s="12">
        <v>0</v>
      </c>
      <c r="L2" s="12">
        <v>0</v>
      </c>
      <c r="M2" s="12">
        <v>0</v>
      </c>
      <c r="N2" s="12" t="s">
        <v>117</v>
      </c>
      <c r="O2" s="12"/>
      <c r="P2" s="12">
        <v>7</v>
      </c>
      <c r="Q2" s="12"/>
      <c r="R2" s="12"/>
      <c r="S2" s="12"/>
      <c r="T2" s="12"/>
      <c r="U2" s="12" t="s">
        <v>122</v>
      </c>
    </row>
    <row r="3" spans="1:21" ht="52.8" x14ac:dyDescent="0.3">
      <c r="A3" s="12" t="s">
        <v>108</v>
      </c>
      <c r="B3" s="13" t="str">
        <f>IF(A3="","",IFERROR(INDEX(Sessions!$R$2:$R$16,MATCH(A3,Sessions!$A$2:$A$16,0)),"?"))</f>
        <v>Proxy donor</v>
      </c>
      <c r="C3" s="12" t="s">
        <v>69</v>
      </c>
      <c r="D3" s="13" t="str">
        <f>IF(C3="","",IFERROR(INDEX(Tasks!$B$2:$B$7,MATCH(C3,Tasks!$A$2:$A$7,0)),"?"))</f>
        <v>Create emergency request</v>
      </c>
      <c r="E3" s="12" t="s">
        <v>51</v>
      </c>
      <c r="F3" s="14"/>
      <c r="G3" s="14"/>
      <c r="H3" s="13" t="str">
        <f t="shared" si="0"/>
        <v/>
      </c>
      <c r="I3" s="12">
        <v>71</v>
      </c>
      <c r="J3" s="13">
        <f t="shared" si="1"/>
        <v>71</v>
      </c>
      <c r="K3" s="12">
        <v>1</v>
      </c>
      <c r="L3" s="12">
        <v>1</v>
      </c>
      <c r="M3" s="12">
        <v>0</v>
      </c>
      <c r="N3" s="12" t="s">
        <v>116</v>
      </c>
      <c r="O3" s="12">
        <v>5</v>
      </c>
      <c r="P3" s="12">
        <v>5</v>
      </c>
      <c r="Q3" s="12"/>
      <c r="R3" s="12" t="s">
        <v>159</v>
      </c>
      <c r="S3" s="12" t="s">
        <v>160</v>
      </c>
      <c r="T3" s="12"/>
      <c r="U3" s="12" t="s">
        <v>122</v>
      </c>
    </row>
    <row r="4" spans="1:21" ht="52.8" x14ac:dyDescent="0.3">
      <c r="A4" s="12" t="s">
        <v>108</v>
      </c>
      <c r="B4" s="13" t="str">
        <f>IF(A4="","",IFERROR(INDEX(Sessions!$R$2:$R$16,MATCH(A4,Sessions!$A$2:$A$16,0)),"?"))</f>
        <v>Proxy donor</v>
      </c>
      <c r="C4" s="12" t="s">
        <v>71</v>
      </c>
      <c r="D4" s="13" t="str">
        <f>IF(C4="","",IFERROR(INDEX(Tasks!$B$2:$B$7,MATCH(C4,Tasks!$A$2:$A$7,0)),"?"))</f>
        <v>Check status and response count</v>
      </c>
      <c r="E4" s="12" t="s">
        <v>52</v>
      </c>
      <c r="F4" s="14"/>
      <c r="G4" s="14"/>
      <c r="H4" s="13" t="str">
        <f t="shared" si="0"/>
        <v/>
      </c>
      <c r="I4" s="12">
        <v>82</v>
      </c>
      <c r="J4" s="13">
        <f t="shared" si="1"/>
        <v>82</v>
      </c>
      <c r="K4" s="12">
        <v>1</v>
      </c>
      <c r="L4" s="12">
        <v>1</v>
      </c>
      <c r="M4" s="12">
        <v>1</v>
      </c>
      <c r="N4" s="12" t="s">
        <v>116</v>
      </c>
      <c r="O4" s="12">
        <v>4</v>
      </c>
      <c r="P4" s="12">
        <v>4</v>
      </c>
      <c r="Q4" s="12" t="s">
        <v>161</v>
      </c>
      <c r="R4" s="12" t="s">
        <v>162</v>
      </c>
      <c r="S4" s="12" t="s">
        <v>163</v>
      </c>
      <c r="T4" s="12"/>
      <c r="U4" s="12" t="s">
        <v>122</v>
      </c>
    </row>
    <row r="5" spans="1:21" ht="52.8" x14ac:dyDescent="0.3">
      <c r="A5" s="12" t="s">
        <v>108</v>
      </c>
      <c r="B5" s="13" t="str">
        <f>IF(A5="","",IFERROR(INDEX(Sessions!$R$2:$R$16,MATCH(A5,Sessions!$A$2:$A$16,0)),"?"))</f>
        <v>Proxy donor</v>
      </c>
      <c r="C5" s="12" t="s">
        <v>73</v>
      </c>
      <c r="D5" s="13" t="str">
        <f>IF(C5="","",IFERROR(INDEX(Tasks!$B$2:$B$7,MATCH(C5,Tasks!$A$2:$A$7,0)),"?"))</f>
        <v>Set donor availability</v>
      </c>
      <c r="E5" s="12" t="s">
        <v>52</v>
      </c>
      <c r="F5" s="14"/>
      <c r="G5" s="14"/>
      <c r="H5" s="13" t="str">
        <f t="shared" si="0"/>
        <v/>
      </c>
      <c r="I5" s="12">
        <v>95</v>
      </c>
      <c r="J5" s="13">
        <f t="shared" si="1"/>
        <v>95</v>
      </c>
      <c r="K5" s="12">
        <v>2</v>
      </c>
      <c r="L5" s="12">
        <v>1</v>
      </c>
      <c r="M5" s="12">
        <v>1</v>
      </c>
      <c r="N5" s="12" t="s">
        <v>116</v>
      </c>
      <c r="O5" s="12">
        <v>3</v>
      </c>
      <c r="P5" s="12">
        <v>3</v>
      </c>
      <c r="Q5" s="12" t="s">
        <v>164</v>
      </c>
      <c r="R5" s="12" t="s">
        <v>165</v>
      </c>
      <c r="S5" s="12" t="s">
        <v>166</v>
      </c>
      <c r="T5" s="12"/>
      <c r="U5" s="12" t="s">
        <v>122</v>
      </c>
    </row>
    <row r="6" spans="1:21" ht="52.8" x14ac:dyDescent="0.3">
      <c r="A6" s="12" t="s">
        <v>108</v>
      </c>
      <c r="B6" s="13" t="str">
        <f>IF(A6="","",IFERROR(INDEX(Sessions!$R$2:$R$16,MATCH(A6,Sessions!$A$2:$A$16,0)),"?"))</f>
        <v>Proxy donor</v>
      </c>
      <c r="C6" s="12" t="s">
        <v>75</v>
      </c>
      <c r="D6" s="13" t="str">
        <f>IF(C6="","",IFERROR(INDEX(Tasks!$B$2:$B$7,MATCH(C6,Tasks!$A$2:$A$7,0)),"?"))</f>
        <v>Respond to an alert</v>
      </c>
      <c r="E6" s="12" t="s">
        <v>51</v>
      </c>
      <c r="F6" s="14"/>
      <c r="G6" s="14"/>
      <c r="H6" s="13" t="str">
        <f t="shared" si="0"/>
        <v/>
      </c>
      <c r="I6" s="12">
        <v>48</v>
      </c>
      <c r="J6" s="13">
        <f t="shared" si="1"/>
        <v>48</v>
      </c>
      <c r="K6" s="12">
        <v>0</v>
      </c>
      <c r="L6" s="12">
        <v>0</v>
      </c>
      <c r="M6" s="12">
        <v>0</v>
      </c>
      <c r="N6" s="12" t="s">
        <v>117</v>
      </c>
      <c r="O6" s="12">
        <v>6</v>
      </c>
      <c r="P6" s="12">
        <v>6</v>
      </c>
      <c r="Q6" s="12"/>
      <c r="R6" s="12"/>
      <c r="S6" s="12"/>
      <c r="T6" s="12"/>
      <c r="U6" s="12" t="s">
        <v>122</v>
      </c>
    </row>
    <row r="7" spans="1:21" ht="52.8" x14ac:dyDescent="0.3">
      <c r="A7" s="12" t="s">
        <v>108</v>
      </c>
      <c r="B7" s="13" t="str">
        <f>IF(A7="","",IFERROR(INDEX(Sessions!$R$2:$R$16,MATCH(A7,Sessions!$A$2:$A$16,0)),"?"))</f>
        <v>Proxy donor</v>
      </c>
      <c r="C7" s="12" t="s">
        <v>77</v>
      </c>
      <c r="D7" s="13" t="str">
        <f>IF(C7="","",IFERROR(INDEX(Tasks!$B$2:$B$7,MATCH(C7,Tasks!$A$2:$A$7,0)),"?"))</f>
        <v>Find history</v>
      </c>
      <c r="E7" s="12" t="s">
        <v>52</v>
      </c>
      <c r="F7" s="14"/>
      <c r="G7" s="14"/>
      <c r="H7" s="13" t="str">
        <f t="shared" si="0"/>
        <v/>
      </c>
      <c r="I7" s="12">
        <v>58</v>
      </c>
      <c r="J7" s="13">
        <f t="shared" si="1"/>
        <v>58</v>
      </c>
      <c r="K7" s="12">
        <v>1</v>
      </c>
      <c r="L7" s="12">
        <v>1</v>
      </c>
      <c r="M7" s="12">
        <v>1</v>
      </c>
      <c r="N7" s="12" t="s">
        <v>116</v>
      </c>
      <c r="O7" s="12">
        <v>4</v>
      </c>
      <c r="P7" s="12">
        <v>4</v>
      </c>
      <c r="Q7" s="12" t="s">
        <v>167</v>
      </c>
      <c r="R7" s="12" t="s">
        <v>168</v>
      </c>
      <c r="S7" s="12" t="s">
        <v>169</v>
      </c>
      <c r="T7" s="12"/>
      <c r="U7" s="12" t="s">
        <v>122</v>
      </c>
    </row>
    <row r="8" spans="1:21" ht="52.8" x14ac:dyDescent="0.3">
      <c r="A8" s="12" t="s">
        <v>123</v>
      </c>
      <c r="B8" s="13" t="str">
        <f>IF(A8="","",IFERROR(INDEX(Sessions!$R$2:$R$16,MATCH(A8,Sessions!$A$2:$A$16,0)),"?"))</f>
        <v>Proxy searcher</v>
      </c>
      <c r="C8" s="12" t="s">
        <v>67</v>
      </c>
      <c r="D8" s="13" t="str">
        <f>IF(C8="","",IFERROR(INDEX(Tasks!$B$2:$B$7,MATCH(C8,Tasks!$A$2:$A$7,0)),"?"))</f>
        <v>Sign in</v>
      </c>
      <c r="E8" s="12" t="s">
        <v>51</v>
      </c>
      <c r="F8" s="14"/>
      <c r="G8" s="14"/>
      <c r="H8" s="13" t="str">
        <f t="shared" si="0"/>
        <v/>
      </c>
      <c r="I8" s="12">
        <v>20</v>
      </c>
      <c r="J8" s="13">
        <f t="shared" si="1"/>
        <v>20</v>
      </c>
      <c r="K8" s="12">
        <v>0</v>
      </c>
      <c r="L8" s="12">
        <v>0</v>
      </c>
      <c r="M8" s="12">
        <v>0</v>
      </c>
      <c r="N8" s="12" t="s">
        <v>117</v>
      </c>
      <c r="O8" s="12"/>
      <c r="P8" s="12">
        <v>7</v>
      </c>
      <c r="Q8" s="12"/>
      <c r="R8" s="12"/>
      <c r="S8" s="12"/>
      <c r="T8" s="12"/>
      <c r="U8" s="12" t="s">
        <v>122</v>
      </c>
    </row>
    <row r="9" spans="1:21" ht="52.8" x14ac:dyDescent="0.3">
      <c r="A9" s="12" t="s">
        <v>123</v>
      </c>
      <c r="B9" s="13" t="str">
        <f>IF(A9="","",IFERROR(INDEX(Sessions!$R$2:$R$16,MATCH(A9,Sessions!$A$2:$A$16,0)),"?"))</f>
        <v>Proxy searcher</v>
      </c>
      <c r="C9" s="12" t="s">
        <v>69</v>
      </c>
      <c r="D9" s="13" t="str">
        <f>IF(C9="","",IFERROR(INDEX(Tasks!$B$2:$B$7,MATCH(C9,Tasks!$A$2:$A$7,0)),"?"))</f>
        <v>Create emergency request</v>
      </c>
      <c r="E9" s="12" t="s">
        <v>51</v>
      </c>
      <c r="F9" s="14"/>
      <c r="G9" s="14"/>
      <c r="H9" s="13" t="str">
        <f t="shared" si="0"/>
        <v/>
      </c>
      <c r="I9" s="12">
        <v>63</v>
      </c>
      <c r="J9" s="13">
        <f t="shared" si="1"/>
        <v>63</v>
      </c>
      <c r="K9" s="12">
        <v>0</v>
      </c>
      <c r="L9" s="12">
        <v>0</v>
      </c>
      <c r="M9" s="12">
        <v>0</v>
      </c>
      <c r="N9" s="12" t="s">
        <v>117</v>
      </c>
      <c r="O9" s="12">
        <v>6</v>
      </c>
      <c r="P9" s="12">
        <v>6</v>
      </c>
      <c r="Q9" s="12"/>
      <c r="R9" s="12"/>
      <c r="S9" s="12"/>
      <c r="T9" s="12"/>
      <c r="U9" s="12" t="s">
        <v>122</v>
      </c>
    </row>
    <row r="10" spans="1:21" ht="52.8" x14ac:dyDescent="0.3">
      <c r="A10" s="12" t="s">
        <v>123</v>
      </c>
      <c r="B10" s="13" t="str">
        <f>IF(A10="","",IFERROR(INDEX(Sessions!$R$2:$R$16,MATCH(A10,Sessions!$A$2:$A$16,0)),"?"))</f>
        <v>Proxy searcher</v>
      </c>
      <c r="C10" s="12" t="s">
        <v>71</v>
      </c>
      <c r="D10" s="13" t="str">
        <f>IF(C10="","",IFERROR(INDEX(Tasks!$B$2:$B$7,MATCH(C10,Tasks!$A$2:$A$7,0)),"?"))</f>
        <v>Check status and response count</v>
      </c>
      <c r="E10" s="12" t="s">
        <v>52</v>
      </c>
      <c r="F10" s="14"/>
      <c r="G10" s="14"/>
      <c r="H10" s="13" t="str">
        <f t="shared" si="0"/>
        <v/>
      </c>
      <c r="I10" s="12">
        <v>76</v>
      </c>
      <c r="J10" s="13">
        <f t="shared" si="1"/>
        <v>76</v>
      </c>
      <c r="K10" s="12">
        <v>1</v>
      </c>
      <c r="L10" s="12">
        <v>1</v>
      </c>
      <c r="M10" s="12">
        <v>1</v>
      </c>
      <c r="N10" s="12" t="s">
        <v>116</v>
      </c>
      <c r="O10" s="12">
        <v>4</v>
      </c>
      <c r="P10" s="12">
        <v>4</v>
      </c>
      <c r="Q10" s="12" t="s">
        <v>170</v>
      </c>
      <c r="R10" s="12" t="s">
        <v>171</v>
      </c>
      <c r="S10" s="12" t="s">
        <v>163</v>
      </c>
      <c r="T10" s="12"/>
      <c r="U10" s="12" t="s">
        <v>122</v>
      </c>
    </row>
    <row r="11" spans="1:21" ht="52.8" x14ac:dyDescent="0.3">
      <c r="A11" s="12" t="s">
        <v>123</v>
      </c>
      <c r="B11" s="13" t="str">
        <f>IF(A11="","",IFERROR(INDEX(Sessions!$R$2:$R$16,MATCH(A11,Sessions!$A$2:$A$16,0)),"?"))</f>
        <v>Proxy searcher</v>
      </c>
      <c r="C11" s="12" t="s">
        <v>73</v>
      </c>
      <c r="D11" s="13" t="str">
        <f>IF(C11="","",IFERROR(INDEX(Tasks!$B$2:$B$7,MATCH(C11,Tasks!$A$2:$A$7,0)),"?"))</f>
        <v>Set donor availability</v>
      </c>
      <c r="E11" s="12" t="s">
        <v>52</v>
      </c>
      <c r="F11" s="14"/>
      <c r="G11" s="14"/>
      <c r="H11" s="13" t="str">
        <f t="shared" si="0"/>
        <v/>
      </c>
      <c r="I11" s="12">
        <v>88</v>
      </c>
      <c r="J11" s="13">
        <f t="shared" si="1"/>
        <v>88</v>
      </c>
      <c r="K11" s="12">
        <v>2</v>
      </c>
      <c r="L11" s="12">
        <v>1</v>
      </c>
      <c r="M11" s="12">
        <v>1</v>
      </c>
      <c r="N11" s="12" t="s">
        <v>116</v>
      </c>
      <c r="O11" s="12">
        <v>3</v>
      </c>
      <c r="P11" s="12">
        <v>3</v>
      </c>
      <c r="Q11" s="12" t="s">
        <v>172</v>
      </c>
      <c r="R11" s="12" t="s">
        <v>173</v>
      </c>
      <c r="S11" s="12" t="s">
        <v>166</v>
      </c>
      <c r="T11" s="12"/>
      <c r="U11" s="12" t="s">
        <v>122</v>
      </c>
    </row>
    <row r="12" spans="1:21" ht="52.8" x14ac:dyDescent="0.3">
      <c r="A12" s="12" t="s">
        <v>123</v>
      </c>
      <c r="B12" s="13" t="str">
        <f>IF(A12="","",IFERROR(INDEX(Sessions!$R$2:$R$16,MATCH(A12,Sessions!$A$2:$A$16,0)),"?"))</f>
        <v>Proxy searcher</v>
      </c>
      <c r="C12" s="12" t="s">
        <v>75</v>
      </c>
      <c r="D12" s="13" t="str">
        <f>IF(C12="","",IFERROR(INDEX(Tasks!$B$2:$B$7,MATCH(C12,Tasks!$A$2:$A$7,0)),"?"))</f>
        <v>Respond to an alert</v>
      </c>
      <c r="E12" s="12" t="s">
        <v>51</v>
      </c>
      <c r="F12" s="14"/>
      <c r="G12" s="14"/>
      <c r="H12" s="13" t="str">
        <f t="shared" si="0"/>
        <v/>
      </c>
      <c r="I12" s="12">
        <v>43</v>
      </c>
      <c r="J12" s="13">
        <f t="shared" si="1"/>
        <v>43</v>
      </c>
      <c r="K12" s="12">
        <v>0</v>
      </c>
      <c r="L12" s="12">
        <v>0</v>
      </c>
      <c r="M12" s="12">
        <v>0</v>
      </c>
      <c r="N12" s="12" t="s">
        <v>117</v>
      </c>
      <c r="O12" s="12">
        <v>6</v>
      </c>
      <c r="P12" s="12">
        <v>6</v>
      </c>
      <c r="Q12" s="12"/>
      <c r="R12" s="12"/>
      <c r="S12" s="12"/>
      <c r="T12" s="12"/>
      <c r="U12" s="12" t="s">
        <v>122</v>
      </c>
    </row>
    <row r="13" spans="1:21" ht="52.8" x14ac:dyDescent="0.3">
      <c r="A13" s="12" t="s">
        <v>123</v>
      </c>
      <c r="B13" s="13" t="str">
        <f>IF(A13="","",IFERROR(INDEX(Sessions!$R$2:$R$16,MATCH(A13,Sessions!$A$2:$A$16,0)),"?"))</f>
        <v>Proxy searcher</v>
      </c>
      <c r="C13" s="12" t="s">
        <v>77</v>
      </c>
      <c r="D13" s="13" t="str">
        <f>IF(C13="","",IFERROR(INDEX(Tasks!$B$2:$B$7,MATCH(C13,Tasks!$A$2:$A$7,0)),"?"))</f>
        <v>Find history</v>
      </c>
      <c r="E13" s="12" t="s">
        <v>51</v>
      </c>
      <c r="F13" s="14"/>
      <c r="G13" s="14"/>
      <c r="H13" s="13" t="str">
        <f t="shared" si="0"/>
        <v/>
      </c>
      <c r="I13" s="12">
        <v>44</v>
      </c>
      <c r="J13" s="13">
        <f t="shared" si="1"/>
        <v>44</v>
      </c>
      <c r="K13" s="12">
        <v>0</v>
      </c>
      <c r="L13" s="12">
        <v>0</v>
      </c>
      <c r="M13" s="12">
        <v>0</v>
      </c>
      <c r="N13" s="12" t="s">
        <v>117</v>
      </c>
      <c r="O13" s="12">
        <v>6</v>
      </c>
      <c r="P13" s="12">
        <v>6</v>
      </c>
      <c r="Q13" s="12"/>
      <c r="R13" s="12"/>
      <c r="S13" s="12"/>
      <c r="T13" s="12"/>
      <c r="U13" s="12" t="s">
        <v>122</v>
      </c>
    </row>
    <row r="14" spans="1:21" ht="52.8" x14ac:dyDescent="0.3">
      <c r="A14" s="12" t="s">
        <v>129</v>
      </c>
      <c r="B14" s="13" t="str">
        <f>IF(A14="","",IFERROR(INDEX(Sessions!$R$2:$R$16,MATCH(A14,Sessions!$A$2:$A$16,0)),"?"))</f>
        <v>Proxy donor + searcher</v>
      </c>
      <c r="C14" s="12" t="s">
        <v>67</v>
      </c>
      <c r="D14" s="13" t="str">
        <f>IF(C14="","",IFERROR(INDEX(Tasks!$B$2:$B$7,MATCH(C14,Tasks!$A$2:$A$7,0)),"?"))</f>
        <v>Sign in</v>
      </c>
      <c r="E14" s="12" t="s">
        <v>51</v>
      </c>
      <c r="F14" s="14"/>
      <c r="G14" s="14"/>
      <c r="H14" s="13" t="str">
        <f t="shared" si="0"/>
        <v/>
      </c>
      <c r="I14" s="12">
        <v>18</v>
      </c>
      <c r="J14" s="13">
        <f t="shared" si="1"/>
        <v>18</v>
      </c>
      <c r="K14" s="12">
        <v>0</v>
      </c>
      <c r="L14" s="12">
        <v>0</v>
      </c>
      <c r="M14" s="12">
        <v>0</v>
      </c>
      <c r="N14" s="12" t="s">
        <v>117</v>
      </c>
      <c r="O14" s="12"/>
      <c r="P14" s="12">
        <v>7</v>
      </c>
      <c r="Q14" s="12"/>
      <c r="R14" s="12"/>
      <c r="S14" s="12"/>
      <c r="T14" s="12"/>
      <c r="U14" s="12" t="s">
        <v>122</v>
      </c>
    </row>
    <row r="15" spans="1:21" ht="52.8" x14ac:dyDescent="0.3">
      <c r="A15" s="12" t="s">
        <v>129</v>
      </c>
      <c r="B15" s="13" t="str">
        <f>IF(A15="","",IFERROR(INDEX(Sessions!$R$2:$R$16,MATCH(A15,Sessions!$A$2:$A$16,0)),"?"))</f>
        <v>Proxy donor + searcher</v>
      </c>
      <c r="C15" s="12" t="s">
        <v>69</v>
      </c>
      <c r="D15" s="13" t="str">
        <f>IF(C15="","",IFERROR(INDEX(Tasks!$B$2:$B$7,MATCH(C15,Tasks!$A$2:$A$7,0)),"?"))</f>
        <v>Create emergency request</v>
      </c>
      <c r="E15" s="12" t="s">
        <v>51</v>
      </c>
      <c r="F15" s="14"/>
      <c r="G15" s="14"/>
      <c r="H15" s="13" t="str">
        <f t="shared" si="0"/>
        <v/>
      </c>
      <c r="I15" s="12">
        <v>58</v>
      </c>
      <c r="J15" s="13">
        <f t="shared" si="1"/>
        <v>58</v>
      </c>
      <c r="K15" s="12">
        <v>0</v>
      </c>
      <c r="L15" s="12">
        <v>0</v>
      </c>
      <c r="M15" s="12">
        <v>0</v>
      </c>
      <c r="N15" s="12" t="s">
        <v>117</v>
      </c>
      <c r="O15" s="12">
        <v>6</v>
      </c>
      <c r="P15" s="12">
        <v>6</v>
      </c>
      <c r="Q15" s="12"/>
      <c r="R15" s="12"/>
      <c r="S15" s="12"/>
      <c r="T15" s="12"/>
      <c r="U15" s="12" t="s">
        <v>122</v>
      </c>
    </row>
    <row r="16" spans="1:21" ht="52.8" x14ac:dyDescent="0.3">
      <c r="A16" s="12" t="s">
        <v>129</v>
      </c>
      <c r="B16" s="13" t="str">
        <f>IF(A16="","",IFERROR(INDEX(Sessions!$R$2:$R$16,MATCH(A16,Sessions!$A$2:$A$16,0)),"?"))</f>
        <v>Proxy donor + searcher</v>
      </c>
      <c r="C16" s="12" t="s">
        <v>71</v>
      </c>
      <c r="D16" s="13" t="str">
        <f>IF(C16="","",IFERROR(INDEX(Tasks!$B$2:$B$7,MATCH(C16,Tasks!$A$2:$A$7,0)),"?"))</f>
        <v>Check status and response count</v>
      </c>
      <c r="E16" s="12" t="s">
        <v>51</v>
      </c>
      <c r="F16" s="14"/>
      <c r="G16" s="14"/>
      <c r="H16" s="13" t="str">
        <f t="shared" si="0"/>
        <v/>
      </c>
      <c r="I16" s="12">
        <v>55</v>
      </c>
      <c r="J16" s="13">
        <f t="shared" si="1"/>
        <v>55</v>
      </c>
      <c r="K16" s="12">
        <v>0</v>
      </c>
      <c r="L16" s="12">
        <v>0</v>
      </c>
      <c r="M16" s="12">
        <v>0</v>
      </c>
      <c r="N16" s="12" t="s">
        <v>117</v>
      </c>
      <c r="O16" s="12">
        <v>5</v>
      </c>
      <c r="P16" s="12">
        <v>5</v>
      </c>
      <c r="Q16" s="12"/>
      <c r="R16" s="12" t="s">
        <v>174</v>
      </c>
      <c r="S16" s="12" t="s">
        <v>163</v>
      </c>
      <c r="T16" s="12"/>
      <c r="U16" s="12" t="s">
        <v>122</v>
      </c>
    </row>
    <row r="17" spans="1:21" ht="52.8" x14ac:dyDescent="0.3">
      <c r="A17" s="12" t="s">
        <v>129</v>
      </c>
      <c r="B17" s="13" t="str">
        <f>IF(A17="","",IFERROR(INDEX(Sessions!$R$2:$R$16,MATCH(A17,Sessions!$A$2:$A$16,0)),"?"))</f>
        <v>Proxy donor + searcher</v>
      </c>
      <c r="C17" s="12" t="s">
        <v>73</v>
      </c>
      <c r="D17" s="13" t="str">
        <f>IF(C17="","",IFERROR(INDEX(Tasks!$B$2:$B$7,MATCH(C17,Tasks!$A$2:$A$7,0)),"?"))</f>
        <v>Set donor availability</v>
      </c>
      <c r="E17" s="12" t="s">
        <v>52</v>
      </c>
      <c r="F17" s="14"/>
      <c r="G17" s="14"/>
      <c r="H17" s="13" t="str">
        <f t="shared" si="0"/>
        <v/>
      </c>
      <c r="I17" s="12">
        <v>79</v>
      </c>
      <c r="J17" s="13">
        <f t="shared" si="1"/>
        <v>79</v>
      </c>
      <c r="K17" s="12">
        <v>1</v>
      </c>
      <c r="L17" s="12">
        <v>1</v>
      </c>
      <c r="M17" s="12">
        <v>1</v>
      </c>
      <c r="N17" s="12" t="s">
        <v>116</v>
      </c>
      <c r="O17" s="12">
        <v>4</v>
      </c>
      <c r="P17" s="12">
        <v>4</v>
      </c>
      <c r="Q17" s="12" t="s">
        <v>175</v>
      </c>
      <c r="R17" s="12" t="s">
        <v>176</v>
      </c>
      <c r="S17" s="12" t="s">
        <v>166</v>
      </c>
      <c r="T17" s="12"/>
      <c r="U17" s="12" t="s">
        <v>122</v>
      </c>
    </row>
    <row r="18" spans="1:21" ht="52.8" x14ac:dyDescent="0.3">
      <c r="A18" s="12" t="s">
        <v>129</v>
      </c>
      <c r="B18" s="13" t="str">
        <f>IF(A18="","",IFERROR(INDEX(Sessions!$R$2:$R$16,MATCH(A18,Sessions!$A$2:$A$16,0)),"?"))</f>
        <v>Proxy donor + searcher</v>
      </c>
      <c r="C18" s="12" t="s">
        <v>75</v>
      </c>
      <c r="D18" s="13" t="str">
        <f>IF(C18="","",IFERROR(INDEX(Tasks!$B$2:$B$7,MATCH(C18,Tasks!$A$2:$A$7,0)),"?"))</f>
        <v>Respond to an alert</v>
      </c>
      <c r="E18" s="12" t="s">
        <v>51</v>
      </c>
      <c r="F18" s="14"/>
      <c r="G18" s="14"/>
      <c r="H18" s="13" t="str">
        <f t="shared" si="0"/>
        <v/>
      </c>
      <c r="I18" s="12">
        <v>39</v>
      </c>
      <c r="J18" s="13">
        <f t="shared" si="1"/>
        <v>39</v>
      </c>
      <c r="K18" s="12">
        <v>0</v>
      </c>
      <c r="L18" s="12">
        <v>0</v>
      </c>
      <c r="M18" s="12">
        <v>0</v>
      </c>
      <c r="N18" s="12" t="s">
        <v>117</v>
      </c>
      <c r="O18" s="12">
        <v>6</v>
      </c>
      <c r="P18" s="12">
        <v>6</v>
      </c>
      <c r="Q18" s="12"/>
      <c r="R18" s="12"/>
      <c r="S18" s="12"/>
      <c r="T18" s="12"/>
      <c r="U18" s="12" t="s">
        <v>122</v>
      </c>
    </row>
    <row r="19" spans="1:21" ht="52.8" x14ac:dyDescent="0.3">
      <c r="A19" s="12" t="s">
        <v>129</v>
      </c>
      <c r="B19" s="13" t="str">
        <f>IF(A19="","",IFERROR(INDEX(Sessions!$R$2:$R$16,MATCH(A19,Sessions!$A$2:$A$16,0)),"?"))</f>
        <v>Proxy donor + searcher</v>
      </c>
      <c r="C19" s="12" t="s">
        <v>77</v>
      </c>
      <c r="D19" s="13" t="str">
        <f>IF(C19="","",IFERROR(INDEX(Tasks!$B$2:$B$7,MATCH(C19,Tasks!$A$2:$A$7,0)),"?"))</f>
        <v>Find history</v>
      </c>
      <c r="E19" s="12" t="s">
        <v>52</v>
      </c>
      <c r="F19" s="14"/>
      <c r="G19" s="14"/>
      <c r="H19" s="13" t="str">
        <f t="shared" si="0"/>
        <v/>
      </c>
      <c r="I19" s="12">
        <v>52</v>
      </c>
      <c r="J19" s="13">
        <f t="shared" si="1"/>
        <v>52</v>
      </c>
      <c r="K19" s="12">
        <v>1</v>
      </c>
      <c r="L19" s="12">
        <v>1</v>
      </c>
      <c r="M19" s="12">
        <v>1</v>
      </c>
      <c r="N19" s="12" t="s">
        <v>116</v>
      </c>
      <c r="O19" s="12">
        <v>4</v>
      </c>
      <c r="P19" s="12">
        <v>4</v>
      </c>
      <c r="Q19" s="12" t="s">
        <v>177</v>
      </c>
      <c r="R19" s="12" t="s">
        <v>178</v>
      </c>
      <c r="S19" s="12" t="s">
        <v>169</v>
      </c>
      <c r="T19" s="12"/>
      <c r="U19" s="12" t="s">
        <v>122</v>
      </c>
    </row>
    <row r="20" spans="1:21" ht="52.8" x14ac:dyDescent="0.3">
      <c r="A20" s="12" t="s">
        <v>133</v>
      </c>
      <c r="B20" s="13" t="str">
        <f>IF(A20="","",IFERROR(INDEX(Sessions!$R$2:$R$16,MATCH(A20,Sessions!$A$2:$A$16,0)),"?"))</f>
        <v>Proxy searcher</v>
      </c>
      <c r="C20" s="12" t="s">
        <v>67</v>
      </c>
      <c r="D20" s="13" t="str">
        <f>IF(C20="","",IFERROR(INDEX(Tasks!$B$2:$B$7,MATCH(C20,Tasks!$A$2:$A$7,0)),"?"))</f>
        <v>Sign in</v>
      </c>
      <c r="E20" s="12" t="s">
        <v>51</v>
      </c>
      <c r="F20" s="14"/>
      <c r="G20" s="14"/>
      <c r="H20" s="13" t="str">
        <f t="shared" si="0"/>
        <v/>
      </c>
      <c r="I20" s="12">
        <v>23</v>
      </c>
      <c r="J20" s="13">
        <f t="shared" si="1"/>
        <v>23</v>
      </c>
      <c r="K20" s="12">
        <v>0</v>
      </c>
      <c r="L20" s="12">
        <v>0</v>
      </c>
      <c r="M20" s="12">
        <v>0</v>
      </c>
      <c r="N20" s="12" t="s">
        <v>117</v>
      </c>
      <c r="O20" s="12"/>
      <c r="P20" s="12">
        <v>7</v>
      </c>
      <c r="Q20" s="12"/>
      <c r="R20" s="12"/>
      <c r="S20" s="12"/>
      <c r="T20" s="12"/>
      <c r="U20" s="12" t="s">
        <v>122</v>
      </c>
    </row>
    <row r="21" spans="1:21" ht="52.8" x14ac:dyDescent="0.3">
      <c r="A21" s="12" t="s">
        <v>133</v>
      </c>
      <c r="B21" s="13" t="str">
        <f>IF(A21="","",IFERROR(INDEX(Sessions!$R$2:$R$16,MATCH(A21,Sessions!$A$2:$A$16,0)),"?"))</f>
        <v>Proxy searcher</v>
      </c>
      <c r="C21" s="12" t="s">
        <v>69</v>
      </c>
      <c r="D21" s="13" t="str">
        <f>IF(C21="","",IFERROR(INDEX(Tasks!$B$2:$B$7,MATCH(C21,Tasks!$A$2:$A$7,0)),"?"))</f>
        <v>Create emergency request</v>
      </c>
      <c r="E21" s="12" t="s">
        <v>52</v>
      </c>
      <c r="F21" s="14"/>
      <c r="G21" s="14"/>
      <c r="H21" s="13" t="str">
        <f t="shared" si="0"/>
        <v/>
      </c>
      <c r="I21" s="12">
        <v>84</v>
      </c>
      <c r="J21" s="13">
        <f t="shared" si="1"/>
        <v>84</v>
      </c>
      <c r="K21" s="12">
        <v>1</v>
      </c>
      <c r="L21" s="12">
        <v>1</v>
      </c>
      <c r="M21" s="12">
        <v>1</v>
      </c>
      <c r="N21" s="12" t="s">
        <v>116</v>
      </c>
      <c r="O21" s="12">
        <v>4</v>
      </c>
      <c r="P21" s="12">
        <v>4</v>
      </c>
      <c r="Q21" s="12" t="s">
        <v>179</v>
      </c>
      <c r="R21" s="12" t="s">
        <v>180</v>
      </c>
      <c r="S21" s="12" t="s">
        <v>160</v>
      </c>
      <c r="T21" s="12"/>
      <c r="U21" s="12" t="s">
        <v>122</v>
      </c>
    </row>
    <row r="22" spans="1:21" ht="52.8" x14ac:dyDescent="0.3">
      <c r="A22" s="12" t="s">
        <v>133</v>
      </c>
      <c r="B22" s="13" t="str">
        <f>IF(A22="","",IFERROR(INDEX(Sessions!$R$2:$R$16,MATCH(A22,Sessions!$A$2:$A$16,0)),"?"))</f>
        <v>Proxy searcher</v>
      </c>
      <c r="C22" s="12" t="s">
        <v>71</v>
      </c>
      <c r="D22" s="13" t="str">
        <f>IF(C22="","",IFERROR(INDEX(Tasks!$B$2:$B$7,MATCH(C22,Tasks!$A$2:$A$7,0)),"?"))</f>
        <v>Check status and response count</v>
      </c>
      <c r="E22" s="12" t="s">
        <v>51</v>
      </c>
      <c r="F22" s="14"/>
      <c r="G22" s="14"/>
      <c r="H22" s="13" t="str">
        <f t="shared" si="0"/>
        <v/>
      </c>
      <c r="I22" s="12">
        <v>61</v>
      </c>
      <c r="J22" s="13">
        <f t="shared" si="1"/>
        <v>61</v>
      </c>
      <c r="K22" s="12">
        <v>0</v>
      </c>
      <c r="L22" s="12">
        <v>0</v>
      </c>
      <c r="M22" s="12">
        <v>0</v>
      </c>
      <c r="N22" s="12" t="s">
        <v>117</v>
      </c>
      <c r="O22" s="12">
        <v>5</v>
      </c>
      <c r="P22" s="12">
        <v>5</v>
      </c>
      <c r="Q22" s="12"/>
      <c r="R22" s="12"/>
      <c r="S22" s="12"/>
      <c r="T22" s="12"/>
      <c r="U22" s="12" t="s">
        <v>122</v>
      </c>
    </row>
    <row r="23" spans="1:21" ht="52.8" x14ac:dyDescent="0.3">
      <c r="A23" s="12" t="s">
        <v>133</v>
      </c>
      <c r="B23" s="13" t="str">
        <f>IF(A23="","",IFERROR(INDEX(Sessions!$R$2:$R$16,MATCH(A23,Sessions!$A$2:$A$16,0)),"?"))</f>
        <v>Proxy searcher</v>
      </c>
      <c r="C23" s="12" t="s">
        <v>73</v>
      </c>
      <c r="D23" s="13" t="str">
        <f>IF(C23="","",IFERROR(INDEX(Tasks!$B$2:$B$7,MATCH(C23,Tasks!$A$2:$A$7,0)),"?"))</f>
        <v>Set donor availability</v>
      </c>
      <c r="E23" s="12" t="s">
        <v>53</v>
      </c>
      <c r="F23" s="14"/>
      <c r="G23" s="14"/>
      <c r="H23" s="13" t="str">
        <f t="shared" si="0"/>
        <v/>
      </c>
      <c r="I23" s="12">
        <v>180</v>
      </c>
      <c r="J23" s="13">
        <f t="shared" si="1"/>
        <v>180</v>
      </c>
      <c r="K23" s="12">
        <v>3</v>
      </c>
      <c r="L23" s="12">
        <v>1</v>
      </c>
      <c r="M23" s="12">
        <v>1</v>
      </c>
      <c r="N23" s="12" t="s">
        <v>116</v>
      </c>
      <c r="O23" s="12">
        <v>2</v>
      </c>
      <c r="P23" s="12">
        <v>2</v>
      </c>
      <c r="Q23" s="12" t="s">
        <v>181</v>
      </c>
      <c r="R23" s="12" t="s">
        <v>182</v>
      </c>
      <c r="S23" s="12" t="s">
        <v>166</v>
      </c>
      <c r="T23" s="12"/>
      <c r="U23" s="12" t="s">
        <v>122</v>
      </c>
    </row>
    <row r="24" spans="1:21" ht="52.8" x14ac:dyDescent="0.3">
      <c r="A24" s="12" t="s">
        <v>133</v>
      </c>
      <c r="B24" s="13" t="str">
        <f>IF(A24="","",IFERROR(INDEX(Sessions!$R$2:$R$16,MATCH(A24,Sessions!$A$2:$A$16,0)),"?"))</f>
        <v>Proxy searcher</v>
      </c>
      <c r="C24" s="12" t="s">
        <v>75</v>
      </c>
      <c r="D24" s="13" t="str">
        <f>IF(C24="","",IFERROR(INDEX(Tasks!$B$2:$B$7,MATCH(C24,Tasks!$A$2:$A$7,0)),"?"))</f>
        <v>Respond to an alert</v>
      </c>
      <c r="E24" s="12" t="s">
        <v>51</v>
      </c>
      <c r="F24" s="14"/>
      <c r="G24" s="14"/>
      <c r="H24" s="13" t="str">
        <f t="shared" si="0"/>
        <v/>
      </c>
      <c r="I24" s="12">
        <v>51</v>
      </c>
      <c r="J24" s="13">
        <f t="shared" si="1"/>
        <v>51</v>
      </c>
      <c r="K24" s="12">
        <v>0</v>
      </c>
      <c r="L24" s="12">
        <v>0</v>
      </c>
      <c r="M24" s="12">
        <v>0</v>
      </c>
      <c r="N24" s="12" t="s">
        <v>117</v>
      </c>
      <c r="O24" s="12">
        <v>6</v>
      </c>
      <c r="P24" s="12">
        <v>6</v>
      </c>
      <c r="Q24" s="12"/>
      <c r="R24" s="12"/>
      <c r="S24" s="12"/>
      <c r="T24" s="12"/>
      <c r="U24" s="12" t="s">
        <v>122</v>
      </c>
    </row>
    <row r="25" spans="1:21" ht="52.8" x14ac:dyDescent="0.3">
      <c r="A25" s="12" t="s">
        <v>133</v>
      </c>
      <c r="B25" s="13" t="str">
        <f>IF(A25="","",IFERROR(INDEX(Sessions!$R$2:$R$16,MATCH(A25,Sessions!$A$2:$A$16,0)),"?"))</f>
        <v>Proxy searcher</v>
      </c>
      <c r="C25" s="12" t="s">
        <v>77</v>
      </c>
      <c r="D25" s="13" t="str">
        <f>IF(C25="","",IFERROR(INDEX(Tasks!$B$2:$B$7,MATCH(C25,Tasks!$A$2:$A$7,0)),"?"))</f>
        <v>Find history</v>
      </c>
      <c r="E25" s="12" t="s">
        <v>52</v>
      </c>
      <c r="F25" s="14"/>
      <c r="G25" s="14"/>
      <c r="H25" s="13" t="str">
        <f t="shared" si="0"/>
        <v/>
      </c>
      <c r="I25" s="12">
        <v>70</v>
      </c>
      <c r="J25" s="13">
        <f t="shared" si="1"/>
        <v>70</v>
      </c>
      <c r="K25" s="12">
        <v>1</v>
      </c>
      <c r="L25" s="12">
        <v>1</v>
      </c>
      <c r="M25" s="12">
        <v>1</v>
      </c>
      <c r="N25" s="12" t="s">
        <v>116</v>
      </c>
      <c r="O25" s="12">
        <v>4</v>
      </c>
      <c r="P25" s="12">
        <v>4</v>
      </c>
      <c r="Q25" s="12" t="s">
        <v>183</v>
      </c>
      <c r="R25" s="12" t="s">
        <v>184</v>
      </c>
      <c r="S25" s="12" t="s">
        <v>169</v>
      </c>
      <c r="T25" s="12"/>
      <c r="U25" s="12" t="s">
        <v>122</v>
      </c>
    </row>
    <row r="26" spans="1:21" ht="52.8" x14ac:dyDescent="0.3">
      <c r="A26" s="12" t="s">
        <v>137</v>
      </c>
      <c r="B26" s="13" t="str">
        <f>IF(A26="","",IFERROR(INDEX(Sessions!$R$2:$R$16,MATCH(A26,Sessions!$A$2:$A$16,0)),"?"))</f>
        <v>Proxy donor</v>
      </c>
      <c r="C26" s="12" t="s">
        <v>67</v>
      </c>
      <c r="D26" s="13" t="str">
        <f>IF(C26="","",IFERROR(INDEX(Tasks!$B$2:$B$7,MATCH(C26,Tasks!$A$2:$A$7,0)),"?"))</f>
        <v>Sign in</v>
      </c>
      <c r="E26" s="12" t="s">
        <v>51</v>
      </c>
      <c r="F26" s="14"/>
      <c r="G26" s="14"/>
      <c r="H26" s="13" t="str">
        <f t="shared" si="0"/>
        <v/>
      </c>
      <c r="I26" s="12">
        <v>21</v>
      </c>
      <c r="J26" s="13">
        <f t="shared" si="1"/>
        <v>21</v>
      </c>
      <c r="K26" s="12">
        <v>0</v>
      </c>
      <c r="L26" s="12">
        <v>0</v>
      </c>
      <c r="M26" s="12">
        <v>0</v>
      </c>
      <c r="N26" s="12" t="s">
        <v>117</v>
      </c>
      <c r="O26" s="12"/>
      <c r="P26" s="12">
        <v>7</v>
      </c>
      <c r="Q26" s="12"/>
      <c r="R26" s="12"/>
      <c r="S26" s="12"/>
      <c r="T26" s="12"/>
      <c r="U26" s="12" t="s">
        <v>122</v>
      </c>
    </row>
    <row r="27" spans="1:21" ht="52.8" x14ac:dyDescent="0.3">
      <c r="A27" s="12" t="s">
        <v>137</v>
      </c>
      <c r="B27" s="13" t="str">
        <f>IF(A27="","",IFERROR(INDEX(Sessions!$R$2:$R$16,MATCH(A27,Sessions!$A$2:$A$16,0)),"?"))</f>
        <v>Proxy donor</v>
      </c>
      <c r="C27" s="12" t="s">
        <v>69</v>
      </c>
      <c r="D27" s="13" t="str">
        <f>IF(C27="","",IFERROR(INDEX(Tasks!$B$2:$B$7,MATCH(C27,Tasks!$A$2:$A$7,0)),"?"))</f>
        <v>Create emergency request</v>
      </c>
      <c r="E27" s="12" t="s">
        <v>51</v>
      </c>
      <c r="F27" s="14"/>
      <c r="G27" s="14"/>
      <c r="H27" s="13" t="str">
        <f t="shared" si="0"/>
        <v/>
      </c>
      <c r="I27" s="12">
        <v>66</v>
      </c>
      <c r="J27" s="13">
        <f t="shared" si="1"/>
        <v>66</v>
      </c>
      <c r="K27" s="12">
        <v>0</v>
      </c>
      <c r="L27" s="12">
        <v>0</v>
      </c>
      <c r="M27" s="12">
        <v>0</v>
      </c>
      <c r="N27" s="12" t="s">
        <v>117</v>
      </c>
      <c r="O27" s="12">
        <v>6</v>
      </c>
      <c r="P27" s="12">
        <v>6</v>
      </c>
      <c r="Q27" s="12"/>
      <c r="R27" s="12"/>
      <c r="S27" s="12"/>
      <c r="T27" s="12"/>
      <c r="U27" s="12" t="s">
        <v>122</v>
      </c>
    </row>
    <row r="28" spans="1:21" ht="52.8" x14ac:dyDescent="0.3">
      <c r="A28" s="12" t="s">
        <v>137</v>
      </c>
      <c r="B28" s="13" t="str">
        <f>IF(A28="","",IFERROR(INDEX(Sessions!$R$2:$R$16,MATCH(A28,Sessions!$A$2:$A$16,0)),"?"))</f>
        <v>Proxy donor</v>
      </c>
      <c r="C28" s="12" t="s">
        <v>71</v>
      </c>
      <c r="D28" s="13" t="str">
        <f>IF(C28="","",IFERROR(INDEX(Tasks!$B$2:$B$7,MATCH(C28,Tasks!$A$2:$A$7,0)),"?"))</f>
        <v>Check status and response count</v>
      </c>
      <c r="E28" s="12" t="s">
        <v>51</v>
      </c>
      <c r="F28" s="14"/>
      <c r="G28" s="14"/>
      <c r="H28" s="13" t="str">
        <f t="shared" si="0"/>
        <v/>
      </c>
      <c r="I28" s="12">
        <v>59</v>
      </c>
      <c r="J28" s="13">
        <f t="shared" si="1"/>
        <v>59</v>
      </c>
      <c r="K28" s="12">
        <v>0</v>
      </c>
      <c r="L28" s="12">
        <v>0</v>
      </c>
      <c r="M28" s="12">
        <v>0</v>
      </c>
      <c r="N28" s="12" t="s">
        <v>117</v>
      </c>
      <c r="O28" s="12">
        <v>5</v>
      </c>
      <c r="P28" s="12">
        <v>5</v>
      </c>
      <c r="Q28" s="12"/>
      <c r="R28" s="12"/>
      <c r="S28" s="12"/>
      <c r="T28" s="12"/>
      <c r="U28" s="12" t="s">
        <v>122</v>
      </c>
    </row>
    <row r="29" spans="1:21" ht="52.8" x14ac:dyDescent="0.3">
      <c r="A29" s="12" t="s">
        <v>137</v>
      </c>
      <c r="B29" s="13" t="str">
        <f>IF(A29="","",IFERROR(INDEX(Sessions!$R$2:$R$16,MATCH(A29,Sessions!$A$2:$A$16,0)),"?"))</f>
        <v>Proxy donor</v>
      </c>
      <c r="C29" s="12" t="s">
        <v>73</v>
      </c>
      <c r="D29" s="13" t="str">
        <f>IF(C29="","",IFERROR(INDEX(Tasks!$B$2:$B$7,MATCH(C29,Tasks!$A$2:$A$7,0)),"?"))</f>
        <v>Set donor availability</v>
      </c>
      <c r="E29" s="12" t="s">
        <v>52</v>
      </c>
      <c r="F29" s="14"/>
      <c r="G29" s="14"/>
      <c r="H29" s="13" t="str">
        <f t="shared" si="0"/>
        <v/>
      </c>
      <c r="I29" s="12">
        <v>91</v>
      </c>
      <c r="J29" s="13">
        <f t="shared" si="1"/>
        <v>91</v>
      </c>
      <c r="K29" s="12">
        <v>1</v>
      </c>
      <c r="L29" s="12">
        <v>1</v>
      </c>
      <c r="M29" s="12">
        <v>1</v>
      </c>
      <c r="N29" s="12" t="s">
        <v>116</v>
      </c>
      <c r="O29" s="12">
        <v>4</v>
      </c>
      <c r="P29" s="12">
        <v>4</v>
      </c>
      <c r="Q29" s="12" t="s">
        <v>185</v>
      </c>
      <c r="R29" s="12" t="s">
        <v>186</v>
      </c>
      <c r="S29" s="12" t="s">
        <v>166</v>
      </c>
      <c r="T29" s="12"/>
      <c r="U29" s="12" t="s">
        <v>122</v>
      </c>
    </row>
    <row r="30" spans="1:21" ht="52.8" x14ac:dyDescent="0.3">
      <c r="A30" s="12" t="s">
        <v>137</v>
      </c>
      <c r="B30" s="13" t="str">
        <f>IF(A30="","",IFERROR(INDEX(Sessions!$R$2:$R$16,MATCH(A30,Sessions!$A$2:$A$16,0)),"?"))</f>
        <v>Proxy donor</v>
      </c>
      <c r="C30" s="12" t="s">
        <v>75</v>
      </c>
      <c r="D30" s="13" t="str">
        <f>IF(C30="","",IFERROR(INDEX(Tasks!$B$2:$B$7,MATCH(C30,Tasks!$A$2:$A$7,0)),"?"))</f>
        <v>Respond to an alert</v>
      </c>
      <c r="E30" s="12" t="s">
        <v>51</v>
      </c>
      <c r="F30" s="14"/>
      <c r="G30" s="14"/>
      <c r="H30" s="13" t="str">
        <f t="shared" si="0"/>
        <v/>
      </c>
      <c r="I30" s="12">
        <v>45</v>
      </c>
      <c r="J30" s="13">
        <f t="shared" si="1"/>
        <v>45</v>
      </c>
      <c r="K30" s="12">
        <v>0</v>
      </c>
      <c r="L30" s="12">
        <v>0</v>
      </c>
      <c r="M30" s="12">
        <v>0</v>
      </c>
      <c r="N30" s="12" t="s">
        <v>117</v>
      </c>
      <c r="O30" s="12">
        <v>6</v>
      </c>
      <c r="P30" s="12">
        <v>6</v>
      </c>
      <c r="Q30" s="12"/>
      <c r="R30" s="12"/>
      <c r="S30" s="12"/>
      <c r="T30" s="12"/>
      <c r="U30" s="12" t="s">
        <v>122</v>
      </c>
    </row>
    <row r="31" spans="1:21" ht="52.8" x14ac:dyDescent="0.3">
      <c r="A31" s="12" t="s">
        <v>137</v>
      </c>
      <c r="B31" s="13" t="str">
        <f>IF(A31="","",IFERROR(INDEX(Sessions!$R$2:$R$16,MATCH(A31,Sessions!$A$2:$A$16,0)),"?"))</f>
        <v>Proxy donor</v>
      </c>
      <c r="C31" s="12" t="s">
        <v>77</v>
      </c>
      <c r="D31" s="13" t="str">
        <f>IF(C31="","",IFERROR(INDEX(Tasks!$B$2:$B$7,MATCH(C31,Tasks!$A$2:$A$7,0)),"?"))</f>
        <v>Find history</v>
      </c>
      <c r="E31" s="12" t="s">
        <v>51</v>
      </c>
      <c r="F31" s="14"/>
      <c r="G31" s="14"/>
      <c r="H31" s="13" t="str">
        <f t="shared" si="0"/>
        <v/>
      </c>
      <c r="I31" s="12">
        <v>47</v>
      </c>
      <c r="J31" s="13">
        <f t="shared" si="1"/>
        <v>47</v>
      </c>
      <c r="K31" s="12">
        <v>0</v>
      </c>
      <c r="L31" s="12">
        <v>0</v>
      </c>
      <c r="M31" s="12">
        <v>0</v>
      </c>
      <c r="N31" s="12" t="s">
        <v>117</v>
      </c>
      <c r="O31" s="12">
        <v>6</v>
      </c>
      <c r="P31" s="12">
        <v>6</v>
      </c>
      <c r="Q31" s="12"/>
      <c r="R31" s="12"/>
      <c r="S31" s="12"/>
      <c r="T31" s="12"/>
      <c r="U31" s="12" t="s">
        <v>122</v>
      </c>
    </row>
    <row r="32" spans="1:21" x14ac:dyDescent="0.3">
      <c r="A32" s="12"/>
      <c r="B32" s="13" t="str">
        <f>IF(A32="","",IFERROR(INDEX(Sessions!$R$2:$R$16,MATCH(A32,Sessions!$A$2:$A$16,0)),"?"))</f>
        <v/>
      </c>
      <c r="C32" s="12"/>
      <c r="D32" s="13" t="str">
        <f>IF(C32="","",IFERROR(INDEX(Tasks!$B$2:$B$7,MATCH(C32,Tasks!$A$2:$A$7,0)),"?"))</f>
        <v/>
      </c>
      <c r="E32" s="12"/>
      <c r="F32" s="14"/>
      <c r="G32" s="14"/>
      <c r="H32" s="13" t="str">
        <f t="shared" si="0"/>
        <v/>
      </c>
      <c r="I32" s="12"/>
      <c r="J32" s="13" t="str">
        <f t="shared" si="1"/>
        <v/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x14ac:dyDescent="0.3">
      <c r="A33" s="12"/>
      <c r="B33" s="13" t="str">
        <f>IF(A33="","",IFERROR(INDEX(Sessions!$R$2:$R$16,MATCH(A33,Sessions!$A$2:$A$16,0)),"?"))</f>
        <v/>
      </c>
      <c r="C33" s="12"/>
      <c r="D33" s="13" t="str">
        <f>IF(C33="","",IFERROR(INDEX(Tasks!$B$2:$B$7,MATCH(C33,Tasks!$A$2:$A$7,0)),"?"))</f>
        <v/>
      </c>
      <c r="E33" s="12"/>
      <c r="F33" s="14"/>
      <c r="G33" s="14"/>
      <c r="H33" s="13" t="str">
        <f t="shared" si="0"/>
        <v/>
      </c>
      <c r="I33" s="12"/>
      <c r="J33" s="13" t="str">
        <f t="shared" si="1"/>
        <v/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3">
      <c r="A34" s="12"/>
      <c r="B34" s="13" t="str">
        <f>IF(A34="","",IFERROR(INDEX(Sessions!$R$2:$R$16,MATCH(A34,Sessions!$A$2:$A$16,0)),"?"))</f>
        <v/>
      </c>
      <c r="C34" s="12"/>
      <c r="D34" s="13" t="str">
        <f>IF(C34="","",IFERROR(INDEX(Tasks!$B$2:$B$7,MATCH(C34,Tasks!$A$2:$A$7,0)),"?"))</f>
        <v/>
      </c>
      <c r="E34" s="12"/>
      <c r="F34" s="14"/>
      <c r="G34" s="14"/>
      <c r="H34" s="13" t="str">
        <f t="shared" ref="H34:H65" si="2">IF(AND(ISNUMBER(F34),ISNUMBER(G34)),ROUND((G34-F34)*86400,0),"")</f>
        <v/>
      </c>
      <c r="I34" s="12"/>
      <c r="J34" s="13" t="str">
        <f t="shared" ref="J34:J65" si="3">IF(ISNUMBER(I34),I34,IF(ISNUMBER(H34),H34,""))</f>
        <v/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3">
      <c r="A35" s="12"/>
      <c r="B35" s="13" t="str">
        <f>IF(A35="","",IFERROR(INDEX(Sessions!$R$2:$R$16,MATCH(A35,Sessions!$A$2:$A$16,0)),"?"))</f>
        <v/>
      </c>
      <c r="C35" s="12"/>
      <c r="D35" s="13" t="str">
        <f>IF(C35="","",IFERROR(INDEX(Tasks!$B$2:$B$7,MATCH(C35,Tasks!$A$2:$A$7,0)),"?"))</f>
        <v/>
      </c>
      <c r="E35" s="12"/>
      <c r="F35" s="14"/>
      <c r="G35" s="14"/>
      <c r="H35" s="13" t="str">
        <f t="shared" si="2"/>
        <v/>
      </c>
      <c r="I35" s="12"/>
      <c r="J35" s="13" t="str">
        <f t="shared" si="3"/>
        <v/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3">
      <c r="A36" s="12"/>
      <c r="B36" s="13" t="str">
        <f>IF(A36="","",IFERROR(INDEX(Sessions!$R$2:$R$16,MATCH(A36,Sessions!$A$2:$A$16,0)),"?"))</f>
        <v/>
      </c>
      <c r="C36" s="12"/>
      <c r="D36" s="13" t="str">
        <f>IF(C36="","",IFERROR(INDEX(Tasks!$B$2:$B$7,MATCH(C36,Tasks!$A$2:$A$7,0)),"?"))</f>
        <v/>
      </c>
      <c r="E36" s="12"/>
      <c r="F36" s="14"/>
      <c r="G36" s="14"/>
      <c r="H36" s="13" t="str">
        <f t="shared" si="2"/>
        <v/>
      </c>
      <c r="I36" s="12"/>
      <c r="J36" s="13" t="str">
        <f t="shared" si="3"/>
        <v/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3">
      <c r="A37" s="12"/>
      <c r="B37" s="13" t="str">
        <f>IF(A37="","",IFERROR(INDEX(Sessions!$R$2:$R$16,MATCH(A37,Sessions!$A$2:$A$16,0)),"?"))</f>
        <v/>
      </c>
      <c r="C37" s="12"/>
      <c r="D37" s="13" t="str">
        <f>IF(C37="","",IFERROR(INDEX(Tasks!$B$2:$B$7,MATCH(C37,Tasks!$A$2:$A$7,0)),"?"))</f>
        <v/>
      </c>
      <c r="E37" s="12"/>
      <c r="F37" s="14"/>
      <c r="G37" s="14"/>
      <c r="H37" s="13" t="str">
        <f t="shared" si="2"/>
        <v/>
      </c>
      <c r="I37" s="12"/>
      <c r="J37" s="13" t="str">
        <f t="shared" si="3"/>
        <v/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x14ac:dyDescent="0.3">
      <c r="A38" s="12"/>
      <c r="B38" s="13" t="str">
        <f>IF(A38="","",IFERROR(INDEX(Sessions!$R$2:$R$16,MATCH(A38,Sessions!$A$2:$A$16,0)),"?"))</f>
        <v/>
      </c>
      <c r="C38" s="12"/>
      <c r="D38" s="13" t="str">
        <f>IF(C38="","",IFERROR(INDEX(Tasks!$B$2:$B$7,MATCH(C38,Tasks!$A$2:$A$7,0)),"?"))</f>
        <v/>
      </c>
      <c r="E38" s="12"/>
      <c r="F38" s="14"/>
      <c r="G38" s="14"/>
      <c r="H38" s="13" t="str">
        <f t="shared" si="2"/>
        <v/>
      </c>
      <c r="I38" s="12"/>
      <c r="J38" s="13" t="str">
        <f t="shared" si="3"/>
        <v/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3">
      <c r="A39" s="12"/>
      <c r="B39" s="13" t="str">
        <f>IF(A39="","",IFERROR(INDEX(Sessions!$R$2:$R$16,MATCH(A39,Sessions!$A$2:$A$16,0)),"?"))</f>
        <v/>
      </c>
      <c r="C39" s="12"/>
      <c r="D39" s="13" t="str">
        <f>IF(C39="","",IFERROR(INDEX(Tasks!$B$2:$B$7,MATCH(C39,Tasks!$A$2:$A$7,0)),"?"))</f>
        <v/>
      </c>
      <c r="E39" s="12"/>
      <c r="F39" s="14"/>
      <c r="G39" s="14"/>
      <c r="H39" s="13" t="str">
        <f t="shared" si="2"/>
        <v/>
      </c>
      <c r="I39" s="12"/>
      <c r="J39" s="13" t="str">
        <f t="shared" si="3"/>
        <v/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3">
      <c r="A40" s="12"/>
      <c r="B40" s="13" t="str">
        <f>IF(A40="","",IFERROR(INDEX(Sessions!$R$2:$R$16,MATCH(A40,Sessions!$A$2:$A$16,0)),"?"))</f>
        <v/>
      </c>
      <c r="C40" s="12"/>
      <c r="D40" s="13" t="str">
        <f>IF(C40="","",IFERROR(INDEX(Tasks!$B$2:$B$7,MATCH(C40,Tasks!$A$2:$A$7,0)),"?"))</f>
        <v/>
      </c>
      <c r="E40" s="12"/>
      <c r="F40" s="14"/>
      <c r="G40" s="14"/>
      <c r="H40" s="13" t="str">
        <f t="shared" si="2"/>
        <v/>
      </c>
      <c r="I40" s="12"/>
      <c r="J40" s="13" t="str">
        <f t="shared" si="3"/>
        <v/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3">
      <c r="A41" s="12"/>
      <c r="B41" s="13" t="str">
        <f>IF(A41="","",IFERROR(INDEX(Sessions!$R$2:$R$16,MATCH(A41,Sessions!$A$2:$A$16,0)),"?"))</f>
        <v/>
      </c>
      <c r="C41" s="12"/>
      <c r="D41" s="13" t="str">
        <f>IF(C41="","",IFERROR(INDEX(Tasks!$B$2:$B$7,MATCH(C41,Tasks!$A$2:$A$7,0)),"?"))</f>
        <v/>
      </c>
      <c r="E41" s="12"/>
      <c r="F41" s="14"/>
      <c r="G41" s="14"/>
      <c r="H41" s="13" t="str">
        <f t="shared" si="2"/>
        <v/>
      </c>
      <c r="I41" s="12"/>
      <c r="J41" s="13" t="str">
        <f t="shared" si="3"/>
        <v/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x14ac:dyDescent="0.3">
      <c r="A42" s="12"/>
      <c r="B42" s="13" t="str">
        <f>IF(A42="","",IFERROR(INDEX(Sessions!$R$2:$R$16,MATCH(A42,Sessions!$A$2:$A$16,0)),"?"))</f>
        <v/>
      </c>
      <c r="C42" s="12"/>
      <c r="D42" s="13" t="str">
        <f>IF(C42="","",IFERROR(INDEX(Tasks!$B$2:$B$7,MATCH(C42,Tasks!$A$2:$A$7,0)),"?"))</f>
        <v/>
      </c>
      <c r="E42" s="12"/>
      <c r="F42" s="14"/>
      <c r="G42" s="14"/>
      <c r="H42" s="13" t="str">
        <f t="shared" si="2"/>
        <v/>
      </c>
      <c r="I42" s="12"/>
      <c r="J42" s="13" t="str">
        <f t="shared" si="3"/>
        <v/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x14ac:dyDescent="0.3">
      <c r="A43" s="12"/>
      <c r="B43" s="13" t="str">
        <f>IF(A43="","",IFERROR(INDEX(Sessions!$R$2:$R$16,MATCH(A43,Sessions!$A$2:$A$16,0)),"?"))</f>
        <v/>
      </c>
      <c r="C43" s="12"/>
      <c r="D43" s="13" t="str">
        <f>IF(C43="","",IFERROR(INDEX(Tasks!$B$2:$B$7,MATCH(C43,Tasks!$A$2:$A$7,0)),"?"))</f>
        <v/>
      </c>
      <c r="E43" s="12"/>
      <c r="F43" s="14"/>
      <c r="G43" s="14"/>
      <c r="H43" s="13" t="str">
        <f t="shared" si="2"/>
        <v/>
      </c>
      <c r="I43" s="12"/>
      <c r="J43" s="13" t="str">
        <f t="shared" si="3"/>
        <v/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x14ac:dyDescent="0.3">
      <c r="A44" s="12"/>
      <c r="B44" s="13" t="str">
        <f>IF(A44="","",IFERROR(INDEX(Sessions!$R$2:$R$16,MATCH(A44,Sessions!$A$2:$A$16,0)),"?"))</f>
        <v/>
      </c>
      <c r="C44" s="12"/>
      <c r="D44" s="13" t="str">
        <f>IF(C44="","",IFERROR(INDEX(Tasks!$B$2:$B$7,MATCH(C44,Tasks!$A$2:$A$7,0)),"?"))</f>
        <v/>
      </c>
      <c r="E44" s="12"/>
      <c r="F44" s="14"/>
      <c r="G44" s="14"/>
      <c r="H44" s="13" t="str">
        <f t="shared" si="2"/>
        <v/>
      </c>
      <c r="I44" s="12"/>
      <c r="J44" s="13" t="str">
        <f t="shared" si="3"/>
        <v/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x14ac:dyDescent="0.3">
      <c r="A45" s="12"/>
      <c r="B45" s="13" t="str">
        <f>IF(A45="","",IFERROR(INDEX(Sessions!$R$2:$R$16,MATCH(A45,Sessions!$A$2:$A$16,0)),"?"))</f>
        <v/>
      </c>
      <c r="C45" s="12"/>
      <c r="D45" s="13" t="str">
        <f>IF(C45="","",IFERROR(INDEX(Tasks!$B$2:$B$7,MATCH(C45,Tasks!$A$2:$A$7,0)),"?"))</f>
        <v/>
      </c>
      <c r="E45" s="12"/>
      <c r="F45" s="14"/>
      <c r="G45" s="14"/>
      <c r="H45" s="13" t="str">
        <f t="shared" si="2"/>
        <v/>
      </c>
      <c r="I45" s="12"/>
      <c r="J45" s="13" t="str">
        <f t="shared" si="3"/>
        <v/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x14ac:dyDescent="0.3">
      <c r="A46" s="12"/>
      <c r="B46" s="13" t="str">
        <f>IF(A46="","",IFERROR(INDEX(Sessions!$R$2:$R$16,MATCH(A46,Sessions!$A$2:$A$16,0)),"?"))</f>
        <v/>
      </c>
      <c r="C46" s="12"/>
      <c r="D46" s="13" t="str">
        <f>IF(C46="","",IFERROR(INDEX(Tasks!$B$2:$B$7,MATCH(C46,Tasks!$A$2:$A$7,0)),"?"))</f>
        <v/>
      </c>
      <c r="E46" s="12"/>
      <c r="F46" s="14"/>
      <c r="G46" s="14"/>
      <c r="H46" s="13" t="str">
        <f t="shared" si="2"/>
        <v/>
      </c>
      <c r="I46" s="12"/>
      <c r="J46" s="13" t="str">
        <f t="shared" si="3"/>
        <v/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x14ac:dyDescent="0.3">
      <c r="A47" s="12"/>
      <c r="B47" s="13" t="str">
        <f>IF(A47="","",IFERROR(INDEX(Sessions!$R$2:$R$16,MATCH(A47,Sessions!$A$2:$A$16,0)),"?"))</f>
        <v/>
      </c>
      <c r="C47" s="12"/>
      <c r="D47" s="13" t="str">
        <f>IF(C47="","",IFERROR(INDEX(Tasks!$B$2:$B$7,MATCH(C47,Tasks!$A$2:$A$7,0)),"?"))</f>
        <v/>
      </c>
      <c r="E47" s="12"/>
      <c r="F47" s="14"/>
      <c r="G47" s="14"/>
      <c r="H47" s="13" t="str">
        <f t="shared" si="2"/>
        <v/>
      </c>
      <c r="I47" s="12"/>
      <c r="J47" s="13" t="str">
        <f t="shared" si="3"/>
        <v/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x14ac:dyDescent="0.3">
      <c r="A48" s="12"/>
      <c r="B48" s="13" t="str">
        <f>IF(A48="","",IFERROR(INDEX(Sessions!$R$2:$R$16,MATCH(A48,Sessions!$A$2:$A$16,0)),"?"))</f>
        <v/>
      </c>
      <c r="C48" s="12"/>
      <c r="D48" s="13" t="str">
        <f>IF(C48="","",IFERROR(INDEX(Tasks!$B$2:$B$7,MATCH(C48,Tasks!$A$2:$A$7,0)),"?"))</f>
        <v/>
      </c>
      <c r="E48" s="12"/>
      <c r="F48" s="14"/>
      <c r="G48" s="14"/>
      <c r="H48" s="13" t="str">
        <f t="shared" si="2"/>
        <v/>
      </c>
      <c r="I48" s="12"/>
      <c r="J48" s="13" t="str">
        <f t="shared" si="3"/>
        <v/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x14ac:dyDescent="0.3">
      <c r="A49" s="12"/>
      <c r="B49" s="13" t="str">
        <f>IF(A49="","",IFERROR(INDEX(Sessions!$R$2:$R$16,MATCH(A49,Sessions!$A$2:$A$16,0)),"?"))</f>
        <v/>
      </c>
      <c r="C49" s="12"/>
      <c r="D49" s="13" t="str">
        <f>IF(C49="","",IFERROR(INDEX(Tasks!$B$2:$B$7,MATCH(C49,Tasks!$A$2:$A$7,0)),"?"))</f>
        <v/>
      </c>
      <c r="E49" s="12"/>
      <c r="F49" s="14"/>
      <c r="G49" s="14"/>
      <c r="H49" s="13" t="str">
        <f t="shared" si="2"/>
        <v/>
      </c>
      <c r="I49" s="12"/>
      <c r="J49" s="13" t="str">
        <f t="shared" si="3"/>
        <v/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x14ac:dyDescent="0.3">
      <c r="A50" s="12"/>
      <c r="B50" s="13" t="str">
        <f>IF(A50="","",IFERROR(INDEX(Sessions!$R$2:$R$16,MATCH(A50,Sessions!$A$2:$A$16,0)),"?"))</f>
        <v/>
      </c>
      <c r="C50" s="12"/>
      <c r="D50" s="13" t="str">
        <f>IF(C50="","",IFERROR(INDEX(Tasks!$B$2:$B$7,MATCH(C50,Tasks!$A$2:$A$7,0)),"?"))</f>
        <v/>
      </c>
      <c r="E50" s="12"/>
      <c r="F50" s="14"/>
      <c r="G50" s="14"/>
      <c r="H50" s="13" t="str">
        <f t="shared" si="2"/>
        <v/>
      </c>
      <c r="I50" s="12"/>
      <c r="J50" s="13" t="str">
        <f t="shared" si="3"/>
        <v/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x14ac:dyDescent="0.3">
      <c r="A51" s="12"/>
      <c r="B51" s="13" t="str">
        <f>IF(A51="","",IFERROR(INDEX(Sessions!$R$2:$R$16,MATCH(A51,Sessions!$A$2:$A$16,0)),"?"))</f>
        <v/>
      </c>
      <c r="C51" s="12"/>
      <c r="D51" s="13" t="str">
        <f>IF(C51="","",IFERROR(INDEX(Tasks!$B$2:$B$7,MATCH(C51,Tasks!$A$2:$A$7,0)),"?"))</f>
        <v/>
      </c>
      <c r="E51" s="12"/>
      <c r="F51" s="14"/>
      <c r="G51" s="14"/>
      <c r="H51" s="13" t="str">
        <f t="shared" si="2"/>
        <v/>
      </c>
      <c r="I51" s="12"/>
      <c r="J51" s="13" t="str">
        <f t="shared" si="3"/>
        <v/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x14ac:dyDescent="0.3">
      <c r="A52" s="12"/>
      <c r="B52" s="13" t="str">
        <f>IF(A52="","",IFERROR(INDEX(Sessions!$R$2:$R$16,MATCH(A52,Sessions!$A$2:$A$16,0)),"?"))</f>
        <v/>
      </c>
      <c r="C52" s="12"/>
      <c r="D52" s="13" t="str">
        <f>IF(C52="","",IFERROR(INDEX(Tasks!$B$2:$B$7,MATCH(C52,Tasks!$A$2:$A$7,0)),"?"))</f>
        <v/>
      </c>
      <c r="E52" s="12"/>
      <c r="F52" s="14"/>
      <c r="G52" s="14"/>
      <c r="H52" s="13" t="str">
        <f t="shared" si="2"/>
        <v/>
      </c>
      <c r="I52" s="12"/>
      <c r="J52" s="13" t="str">
        <f t="shared" si="3"/>
        <v/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x14ac:dyDescent="0.3">
      <c r="A53" s="12"/>
      <c r="B53" s="13" t="str">
        <f>IF(A53="","",IFERROR(INDEX(Sessions!$R$2:$R$16,MATCH(A53,Sessions!$A$2:$A$16,0)),"?"))</f>
        <v/>
      </c>
      <c r="C53" s="12"/>
      <c r="D53" s="13" t="str">
        <f>IF(C53="","",IFERROR(INDEX(Tasks!$B$2:$B$7,MATCH(C53,Tasks!$A$2:$A$7,0)),"?"))</f>
        <v/>
      </c>
      <c r="E53" s="12"/>
      <c r="F53" s="14"/>
      <c r="G53" s="14"/>
      <c r="H53" s="13" t="str">
        <f t="shared" si="2"/>
        <v/>
      </c>
      <c r="I53" s="12"/>
      <c r="J53" s="13" t="str">
        <f t="shared" si="3"/>
        <v/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x14ac:dyDescent="0.3">
      <c r="A54" s="12"/>
      <c r="B54" s="13" t="str">
        <f>IF(A54="","",IFERROR(INDEX(Sessions!$R$2:$R$16,MATCH(A54,Sessions!$A$2:$A$16,0)),"?"))</f>
        <v/>
      </c>
      <c r="C54" s="12"/>
      <c r="D54" s="13" t="str">
        <f>IF(C54="","",IFERROR(INDEX(Tasks!$B$2:$B$7,MATCH(C54,Tasks!$A$2:$A$7,0)),"?"))</f>
        <v/>
      </c>
      <c r="E54" s="12"/>
      <c r="F54" s="14"/>
      <c r="G54" s="14"/>
      <c r="H54" s="13" t="str">
        <f t="shared" si="2"/>
        <v/>
      </c>
      <c r="I54" s="12"/>
      <c r="J54" s="13" t="str">
        <f t="shared" si="3"/>
        <v/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x14ac:dyDescent="0.3">
      <c r="A55" s="12"/>
      <c r="B55" s="13" t="str">
        <f>IF(A55="","",IFERROR(INDEX(Sessions!$R$2:$R$16,MATCH(A55,Sessions!$A$2:$A$16,0)),"?"))</f>
        <v/>
      </c>
      <c r="C55" s="12"/>
      <c r="D55" s="13" t="str">
        <f>IF(C55="","",IFERROR(INDEX(Tasks!$B$2:$B$7,MATCH(C55,Tasks!$A$2:$A$7,0)),"?"))</f>
        <v/>
      </c>
      <c r="E55" s="12"/>
      <c r="F55" s="14"/>
      <c r="G55" s="14"/>
      <c r="H55" s="13" t="str">
        <f t="shared" si="2"/>
        <v/>
      </c>
      <c r="I55" s="12"/>
      <c r="J55" s="13" t="str">
        <f t="shared" si="3"/>
        <v/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x14ac:dyDescent="0.3">
      <c r="A56" s="12"/>
      <c r="B56" s="13" t="str">
        <f>IF(A56="","",IFERROR(INDEX(Sessions!$R$2:$R$16,MATCH(A56,Sessions!$A$2:$A$16,0)),"?"))</f>
        <v/>
      </c>
      <c r="C56" s="12"/>
      <c r="D56" s="13" t="str">
        <f>IF(C56="","",IFERROR(INDEX(Tasks!$B$2:$B$7,MATCH(C56,Tasks!$A$2:$A$7,0)),"?"))</f>
        <v/>
      </c>
      <c r="E56" s="12"/>
      <c r="F56" s="14"/>
      <c r="G56" s="14"/>
      <c r="H56" s="13" t="str">
        <f t="shared" si="2"/>
        <v/>
      </c>
      <c r="I56" s="12"/>
      <c r="J56" s="13" t="str">
        <f t="shared" si="3"/>
        <v/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x14ac:dyDescent="0.3">
      <c r="A57" s="12"/>
      <c r="B57" s="13" t="str">
        <f>IF(A57="","",IFERROR(INDEX(Sessions!$R$2:$R$16,MATCH(A57,Sessions!$A$2:$A$16,0)),"?"))</f>
        <v/>
      </c>
      <c r="C57" s="12"/>
      <c r="D57" s="13" t="str">
        <f>IF(C57="","",IFERROR(INDEX(Tasks!$B$2:$B$7,MATCH(C57,Tasks!$A$2:$A$7,0)),"?"))</f>
        <v/>
      </c>
      <c r="E57" s="12"/>
      <c r="F57" s="14"/>
      <c r="G57" s="14"/>
      <c r="H57" s="13" t="str">
        <f t="shared" si="2"/>
        <v/>
      </c>
      <c r="I57" s="12"/>
      <c r="J57" s="13" t="str">
        <f t="shared" si="3"/>
        <v/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x14ac:dyDescent="0.3">
      <c r="A58" s="12"/>
      <c r="B58" s="13" t="str">
        <f>IF(A58="","",IFERROR(INDEX(Sessions!$R$2:$R$16,MATCH(A58,Sessions!$A$2:$A$16,0)),"?"))</f>
        <v/>
      </c>
      <c r="C58" s="12"/>
      <c r="D58" s="13" t="str">
        <f>IF(C58="","",IFERROR(INDEX(Tasks!$B$2:$B$7,MATCH(C58,Tasks!$A$2:$A$7,0)),"?"))</f>
        <v/>
      </c>
      <c r="E58" s="12"/>
      <c r="F58" s="14"/>
      <c r="G58" s="14"/>
      <c r="H58" s="13" t="str">
        <f t="shared" si="2"/>
        <v/>
      </c>
      <c r="I58" s="12"/>
      <c r="J58" s="13" t="str">
        <f t="shared" si="3"/>
        <v/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x14ac:dyDescent="0.3">
      <c r="A59" s="12"/>
      <c r="B59" s="13" t="str">
        <f>IF(A59="","",IFERROR(INDEX(Sessions!$R$2:$R$16,MATCH(A59,Sessions!$A$2:$A$16,0)),"?"))</f>
        <v/>
      </c>
      <c r="C59" s="12"/>
      <c r="D59" s="13" t="str">
        <f>IF(C59="","",IFERROR(INDEX(Tasks!$B$2:$B$7,MATCH(C59,Tasks!$A$2:$A$7,0)),"?"))</f>
        <v/>
      </c>
      <c r="E59" s="12"/>
      <c r="F59" s="14"/>
      <c r="G59" s="14"/>
      <c r="H59" s="13" t="str">
        <f t="shared" si="2"/>
        <v/>
      </c>
      <c r="I59" s="12"/>
      <c r="J59" s="13" t="str">
        <f t="shared" si="3"/>
        <v/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x14ac:dyDescent="0.3">
      <c r="A60" s="12"/>
      <c r="B60" s="13" t="str">
        <f>IF(A60="","",IFERROR(INDEX(Sessions!$R$2:$R$16,MATCH(A60,Sessions!$A$2:$A$16,0)),"?"))</f>
        <v/>
      </c>
      <c r="C60" s="12"/>
      <c r="D60" s="13" t="str">
        <f>IF(C60="","",IFERROR(INDEX(Tasks!$B$2:$B$7,MATCH(C60,Tasks!$A$2:$A$7,0)),"?"))</f>
        <v/>
      </c>
      <c r="E60" s="12"/>
      <c r="F60" s="14"/>
      <c r="G60" s="14"/>
      <c r="H60" s="13" t="str">
        <f t="shared" si="2"/>
        <v/>
      </c>
      <c r="I60" s="12"/>
      <c r="J60" s="13" t="str">
        <f t="shared" si="3"/>
        <v/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x14ac:dyDescent="0.3">
      <c r="A61" s="12"/>
      <c r="B61" s="13" t="str">
        <f>IF(A61="","",IFERROR(INDEX(Sessions!$R$2:$R$16,MATCH(A61,Sessions!$A$2:$A$16,0)),"?"))</f>
        <v/>
      </c>
      <c r="C61" s="12"/>
      <c r="D61" s="13" t="str">
        <f>IF(C61="","",IFERROR(INDEX(Tasks!$B$2:$B$7,MATCH(C61,Tasks!$A$2:$A$7,0)),"?"))</f>
        <v/>
      </c>
      <c r="E61" s="12"/>
      <c r="F61" s="14"/>
      <c r="G61" s="14"/>
      <c r="H61" s="13" t="str">
        <f t="shared" si="2"/>
        <v/>
      </c>
      <c r="I61" s="12"/>
      <c r="J61" s="13" t="str">
        <f t="shared" si="3"/>
        <v/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x14ac:dyDescent="0.3">
      <c r="A62" s="12"/>
      <c r="B62" s="13" t="str">
        <f>IF(A62="","",IFERROR(INDEX(Sessions!$R$2:$R$16,MATCH(A62,Sessions!$A$2:$A$16,0)),"?"))</f>
        <v/>
      </c>
      <c r="C62" s="12"/>
      <c r="D62" s="13" t="str">
        <f>IF(C62="","",IFERROR(INDEX(Tasks!$B$2:$B$7,MATCH(C62,Tasks!$A$2:$A$7,0)),"?"))</f>
        <v/>
      </c>
      <c r="E62" s="12"/>
      <c r="F62" s="14"/>
      <c r="G62" s="14"/>
      <c r="H62" s="13" t="str">
        <f t="shared" si="2"/>
        <v/>
      </c>
      <c r="I62" s="12"/>
      <c r="J62" s="13" t="str">
        <f t="shared" si="3"/>
        <v/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x14ac:dyDescent="0.3">
      <c r="A63" s="12"/>
      <c r="B63" s="13" t="str">
        <f>IF(A63="","",IFERROR(INDEX(Sessions!$R$2:$R$16,MATCH(A63,Sessions!$A$2:$A$16,0)),"?"))</f>
        <v/>
      </c>
      <c r="C63" s="12"/>
      <c r="D63" s="13" t="str">
        <f>IF(C63="","",IFERROR(INDEX(Tasks!$B$2:$B$7,MATCH(C63,Tasks!$A$2:$A$7,0)),"?"))</f>
        <v/>
      </c>
      <c r="E63" s="12"/>
      <c r="F63" s="14"/>
      <c r="G63" s="14"/>
      <c r="H63" s="13" t="str">
        <f t="shared" si="2"/>
        <v/>
      </c>
      <c r="I63" s="12"/>
      <c r="J63" s="13" t="str">
        <f t="shared" si="3"/>
        <v/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x14ac:dyDescent="0.3">
      <c r="A64" s="12"/>
      <c r="B64" s="13" t="str">
        <f>IF(A64="","",IFERROR(INDEX(Sessions!$R$2:$R$16,MATCH(A64,Sessions!$A$2:$A$16,0)),"?"))</f>
        <v/>
      </c>
      <c r="C64" s="12"/>
      <c r="D64" s="13" t="str">
        <f>IF(C64="","",IFERROR(INDEX(Tasks!$B$2:$B$7,MATCH(C64,Tasks!$A$2:$A$7,0)),"?"))</f>
        <v/>
      </c>
      <c r="E64" s="12"/>
      <c r="F64" s="14"/>
      <c r="G64" s="14"/>
      <c r="H64" s="13" t="str">
        <f t="shared" si="2"/>
        <v/>
      </c>
      <c r="I64" s="12"/>
      <c r="J64" s="13" t="str">
        <f t="shared" si="3"/>
        <v/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x14ac:dyDescent="0.3">
      <c r="A65" s="12"/>
      <c r="B65" s="13" t="str">
        <f>IF(A65="","",IFERROR(INDEX(Sessions!$R$2:$R$16,MATCH(A65,Sessions!$A$2:$A$16,0)),"?"))</f>
        <v/>
      </c>
      <c r="C65" s="12"/>
      <c r="D65" s="13" t="str">
        <f>IF(C65="","",IFERROR(INDEX(Tasks!$B$2:$B$7,MATCH(C65,Tasks!$A$2:$A$7,0)),"?"))</f>
        <v/>
      </c>
      <c r="E65" s="12"/>
      <c r="F65" s="14"/>
      <c r="G65" s="14"/>
      <c r="H65" s="13" t="str">
        <f t="shared" si="2"/>
        <v/>
      </c>
      <c r="I65" s="12"/>
      <c r="J65" s="13" t="str">
        <f t="shared" si="3"/>
        <v/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x14ac:dyDescent="0.3">
      <c r="A66" s="12"/>
      <c r="B66" s="13" t="str">
        <f>IF(A66="","",IFERROR(INDEX(Sessions!$R$2:$R$16,MATCH(A66,Sessions!$A$2:$A$16,0)),"?"))</f>
        <v/>
      </c>
      <c r="C66" s="12"/>
      <c r="D66" s="13" t="str">
        <f>IF(C66="","",IFERROR(INDEX(Tasks!$B$2:$B$7,MATCH(C66,Tasks!$A$2:$A$7,0)),"?"))</f>
        <v/>
      </c>
      <c r="E66" s="12"/>
      <c r="F66" s="14"/>
      <c r="G66" s="14"/>
      <c r="H66" s="13" t="str">
        <f t="shared" ref="H66:H97" si="4">IF(AND(ISNUMBER(F66),ISNUMBER(G66)),ROUND((G66-F66)*86400,0),"")</f>
        <v/>
      </c>
      <c r="I66" s="12"/>
      <c r="J66" s="13" t="str">
        <f t="shared" ref="J66:J97" si="5">IF(ISNUMBER(I66),I66,IF(ISNUMBER(H66),H66,""))</f>
        <v/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 x14ac:dyDescent="0.3">
      <c r="A67" s="12"/>
      <c r="B67" s="13" t="str">
        <f>IF(A67="","",IFERROR(INDEX(Sessions!$R$2:$R$16,MATCH(A67,Sessions!$A$2:$A$16,0)),"?"))</f>
        <v/>
      </c>
      <c r="C67" s="12"/>
      <c r="D67" s="13" t="str">
        <f>IF(C67="","",IFERROR(INDEX(Tasks!$B$2:$B$7,MATCH(C67,Tasks!$A$2:$A$7,0)),"?"))</f>
        <v/>
      </c>
      <c r="E67" s="12"/>
      <c r="F67" s="14"/>
      <c r="G67" s="14"/>
      <c r="H67" s="13" t="str">
        <f t="shared" si="4"/>
        <v/>
      </c>
      <c r="I67" s="12"/>
      <c r="J67" s="13" t="str">
        <f t="shared" si="5"/>
        <v/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 x14ac:dyDescent="0.3">
      <c r="A68" s="12"/>
      <c r="B68" s="13" t="str">
        <f>IF(A68="","",IFERROR(INDEX(Sessions!$R$2:$R$16,MATCH(A68,Sessions!$A$2:$A$16,0)),"?"))</f>
        <v/>
      </c>
      <c r="C68" s="12"/>
      <c r="D68" s="13" t="str">
        <f>IF(C68="","",IFERROR(INDEX(Tasks!$B$2:$B$7,MATCH(C68,Tasks!$A$2:$A$7,0)),"?"))</f>
        <v/>
      </c>
      <c r="E68" s="12"/>
      <c r="F68" s="14"/>
      <c r="G68" s="14"/>
      <c r="H68" s="13" t="str">
        <f t="shared" si="4"/>
        <v/>
      </c>
      <c r="I68" s="12"/>
      <c r="J68" s="13" t="str">
        <f t="shared" si="5"/>
        <v/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 x14ac:dyDescent="0.3">
      <c r="A69" s="12"/>
      <c r="B69" s="13" t="str">
        <f>IF(A69="","",IFERROR(INDEX(Sessions!$R$2:$R$16,MATCH(A69,Sessions!$A$2:$A$16,0)),"?"))</f>
        <v/>
      </c>
      <c r="C69" s="12"/>
      <c r="D69" s="13" t="str">
        <f>IF(C69="","",IFERROR(INDEX(Tasks!$B$2:$B$7,MATCH(C69,Tasks!$A$2:$A$7,0)),"?"))</f>
        <v/>
      </c>
      <c r="E69" s="12"/>
      <c r="F69" s="14"/>
      <c r="G69" s="14"/>
      <c r="H69" s="13" t="str">
        <f t="shared" si="4"/>
        <v/>
      </c>
      <c r="I69" s="12"/>
      <c r="J69" s="13" t="str">
        <f t="shared" si="5"/>
        <v/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x14ac:dyDescent="0.3">
      <c r="A70" s="12"/>
      <c r="B70" s="13" t="str">
        <f>IF(A70="","",IFERROR(INDEX(Sessions!$R$2:$R$16,MATCH(A70,Sessions!$A$2:$A$16,0)),"?"))</f>
        <v/>
      </c>
      <c r="C70" s="12"/>
      <c r="D70" s="13" t="str">
        <f>IF(C70="","",IFERROR(INDEX(Tasks!$B$2:$B$7,MATCH(C70,Tasks!$A$2:$A$7,0)),"?"))</f>
        <v/>
      </c>
      <c r="E70" s="12"/>
      <c r="F70" s="14"/>
      <c r="G70" s="14"/>
      <c r="H70" s="13" t="str">
        <f t="shared" si="4"/>
        <v/>
      </c>
      <c r="I70" s="12"/>
      <c r="J70" s="13" t="str">
        <f t="shared" si="5"/>
        <v/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 x14ac:dyDescent="0.3">
      <c r="A71" s="12"/>
      <c r="B71" s="13" t="str">
        <f>IF(A71="","",IFERROR(INDEX(Sessions!$R$2:$R$16,MATCH(A71,Sessions!$A$2:$A$16,0)),"?"))</f>
        <v/>
      </c>
      <c r="C71" s="12"/>
      <c r="D71" s="13" t="str">
        <f>IF(C71="","",IFERROR(INDEX(Tasks!$B$2:$B$7,MATCH(C71,Tasks!$A$2:$A$7,0)),"?"))</f>
        <v/>
      </c>
      <c r="E71" s="12"/>
      <c r="F71" s="14"/>
      <c r="G71" s="14"/>
      <c r="H71" s="13" t="str">
        <f t="shared" si="4"/>
        <v/>
      </c>
      <c r="I71" s="12"/>
      <c r="J71" s="13" t="str">
        <f t="shared" si="5"/>
        <v/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 x14ac:dyDescent="0.3">
      <c r="A72" s="12"/>
      <c r="B72" s="13" t="str">
        <f>IF(A72="","",IFERROR(INDEX(Sessions!$R$2:$R$16,MATCH(A72,Sessions!$A$2:$A$16,0)),"?"))</f>
        <v/>
      </c>
      <c r="C72" s="12"/>
      <c r="D72" s="13" t="str">
        <f>IF(C72="","",IFERROR(INDEX(Tasks!$B$2:$B$7,MATCH(C72,Tasks!$A$2:$A$7,0)),"?"))</f>
        <v/>
      </c>
      <c r="E72" s="12"/>
      <c r="F72" s="14"/>
      <c r="G72" s="14"/>
      <c r="H72" s="13" t="str">
        <f t="shared" si="4"/>
        <v/>
      </c>
      <c r="I72" s="12"/>
      <c r="J72" s="13" t="str">
        <f t="shared" si="5"/>
        <v/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 x14ac:dyDescent="0.3">
      <c r="A73" s="12"/>
      <c r="B73" s="13" t="str">
        <f>IF(A73="","",IFERROR(INDEX(Sessions!$R$2:$R$16,MATCH(A73,Sessions!$A$2:$A$16,0)),"?"))</f>
        <v/>
      </c>
      <c r="C73" s="12"/>
      <c r="D73" s="13" t="str">
        <f>IF(C73="","",IFERROR(INDEX(Tasks!$B$2:$B$7,MATCH(C73,Tasks!$A$2:$A$7,0)),"?"))</f>
        <v/>
      </c>
      <c r="E73" s="12"/>
      <c r="F73" s="14"/>
      <c r="G73" s="14"/>
      <c r="H73" s="13" t="str">
        <f t="shared" si="4"/>
        <v/>
      </c>
      <c r="I73" s="12"/>
      <c r="J73" s="13" t="str">
        <f t="shared" si="5"/>
        <v/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x14ac:dyDescent="0.3">
      <c r="A74" s="12"/>
      <c r="B74" s="13" t="str">
        <f>IF(A74="","",IFERROR(INDEX(Sessions!$R$2:$R$16,MATCH(A74,Sessions!$A$2:$A$16,0)),"?"))</f>
        <v/>
      </c>
      <c r="C74" s="12"/>
      <c r="D74" s="13" t="str">
        <f>IF(C74="","",IFERROR(INDEX(Tasks!$B$2:$B$7,MATCH(C74,Tasks!$A$2:$A$7,0)),"?"))</f>
        <v/>
      </c>
      <c r="E74" s="12"/>
      <c r="F74" s="14"/>
      <c r="G74" s="14"/>
      <c r="H74" s="13" t="str">
        <f t="shared" si="4"/>
        <v/>
      </c>
      <c r="I74" s="12"/>
      <c r="J74" s="13" t="str">
        <f t="shared" si="5"/>
        <v/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 x14ac:dyDescent="0.3">
      <c r="A75" s="12"/>
      <c r="B75" s="13" t="str">
        <f>IF(A75="","",IFERROR(INDEX(Sessions!$R$2:$R$16,MATCH(A75,Sessions!$A$2:$A$16,0)),"?"))</f>
        <v/>
      </c>
      <c r="C75" s="12"/>
      <c r="D75" s="13" t="str">
        <f>IF(C75="","",IFERROR(INDEX(Tasks!$B$2:$B$7,MATCH(C75,Tasks!$A$2:$A$7,0)),"?"))</f>
        <v/>
      </c>
      <c r="E75" s="12"/>
      <c r="F75" s="14"/>
      <c r="G75" s="14"/>
      <c r="H75" s="13" t="str">
        <f t="shared" si="4"/>
        <v/>
      </c>
      <c r="I75" s="12"/>
      <c r="J75" s="13" t="str">
        <f t="shared" si="5"/>
        <v/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 x14ac:dyDescent="0.3">
      <c r="A76" s="12"/>
      <c r="B76" s="13" t="str">
        <f>IF(A76="","",IFERROR(INDEX(Sessions!$R$2:$R$16,MATCH(A76,Sessions!$A$2:$A$16,0)),"?"))</f>
        <v/>
      </c>
      <c r="C76" s="12"/>
      <c r="D76" s="13" t="str">
        <f>IF(C76="","",IFERROR(INDEX(Tasks!$B$2:$B$7,MATCH(C76,Tasks!$A$2:$A$7,0)),"?"))</f>
        <v/>
      </c>
      <c r="E76" s="12"/>
      <c r="F76" s="14"/>
      <c r="G76" s="14"/>
      <c r="H76" s="13" t="str">
        <f t="shared" si="4"/>
        <v/>
      </c>
      <c r="I76" s="12"/>
      <c r="J76" s="13" t="str">
        <f t="shared" si="5"/>
        <v/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 x14ac:dyDescent="0.3">
      <c r="A77" s="12"/>
      <c r="B77" s="13" t="str">
        <f>IF(A77="","",IFERROR(INDEX(Sessions!$R$2:$R$16,MATCH(A77,Sessions!$A$2:$A$16,0)),"?"))</f>
        <v/>
      </c>
      <c r="C77" s="12"/>
      <c r="D77" s="13" t="str">
        <f>IF(C77="","",IFERROR(INDEX(Tasks!$B$2:$B$7,MATCH(C77,Tasks!$A$2:$A$7,0)),"?"))</f>
        <v/>
      </c>
      <c r="E77" s="12"/>
      <c r="F77" s="14"/>
      <c r="G77" s="14"/>
      <c r="H77" s="13" t="str">
        <f t="shared" si="4"/>
        <v/>
      </c>
      <c r="I77" s="12"/>
      <c r="J77" s="13" t="str">
        <f t="shared" si="5"/>
        <v/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 x14ac:dyDescent="0.3">
      <c r="A78" s="12"/>
      <c r="B78" s="13" t="str">
        <f>IF(A78="","",IFERROR(INDEX(Sessions!$R$2:$R$16,MATCH(A78,Sessions!$A$2:$A$16,0)),"?"))</f>
        <v/>
      </c>
      <c r="C78" s="12"/>
      <c r="D78" s="13" t="str">
        <f>IF(C78="","",IFERROR(INDEX(Tasks!$B$2:$B$7,MATCH(C78,Tasks!$A$2:$A$7,0)),"?"))</f>
        <v/>
      </c>
      <c r="E78" s="12"/>
      <c r="F78" s="14"/>
      <c r="G78" s="14"/>
      <c r="H78" s="13" t="str">
        <f t="shared" si="4"/>
        <v/>
      </c>
      <c r="I78" s="12"/>
      <c r="J78" s="13" t="str">
        <f t="shared" si="5"/>
        <v/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 x14ac:dyDescent="0.3">
      <c r="A79" s="12"/>
      <c r="B79" s="13" t="str">
        <f>IF(A79="","",IFERROR(INDEX(Sessions!$R$2:$R$16,MATCH(A79,Sessions!$A$2:$A$16,0)),"?"))</f>
        <v/>
      </c>
      <c r="C79" s="12"/>
      <c r="D79" s="13" t="str">
        <f>IF(C79="","",IFERROR(INDEX(Tasks!$B$2:$B$7,MATCH(C79,Tasks!$A$2:$A$7,0)),"?"))</f>
        <v/>
      </c>
      <c r="E79" s="12"/>
      <c r="F79" s="14"/>
      <c r="G79" s="14"/>
      <c r="H79" s="13" t="str">
        <f t="shared" si="4"/>
        <v/>
      </c>
      <c r="I79" s="12"/>
      <c r="J79" s="13" t="str">
        <f t="shared" si="5"/>
        <v/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 x14ac:dyDescent="0.3">
      <c r="A80" s="12"/>
      <c r="B80" s="13" t="str">
        <f>IF(A80="","",IFERROR(INDEX(Sessions!$R$2:$R$16,MATCH(A80,Sessions!$A$2:$A$16,0)),"?"))</f>
        <v/>
      </c>
      <c r="C80" s="12"/>
      <c r="D80" s="13" t="str">
        <f>IF(C80="","",IFERROR(INDEX(Tasks!$B$2:$B$7,MATCH(C80,Tasks!$A$2:$A$7,0)),"?"))</f>
        <v/>
      </c>
      <c r="E80" s="12"/>
      <c r="F80" s="14"/>
      <c r="G80" s="14"/>
      <c r="H80" s="13" t="str">
        <f t="shared" si="4"/>
        <v/>
      </c>
      <c r="I80" s="12"/>
      <c r="J80" s="13" t="str">
        <f t="shared" si="5"/>
        <v/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x14ac:dyDescent="0.3">
      <c r="A81" s="12"/>
      <c r="B81" s="13" t="str">
        <f>IF(A81="","",IFERROR(INDEX(Sessions!$R$2:$R$16,MATCH(A81,Sessions!$A$2:$A$16,0)),"?"))</f>
        <v/>
      </c>
      <c r="C81" s="12"/>
      <c r="D81" s="13" t="str">
        <f>IF(C81="","",IFERROR(INDEX(Tasks!$B$2:$B$7,MATCH(C81,Tasks!$A$2:$A$7,0)),"?"))</f>
        <v/>
      </c>
      <c r="E81" s="12"/>
      <c r="F81" s="14"/>
      <c r="G81" s="14"/>
      <c r="H81" s="13" t="str">
        <f t="shared" si="4"/>
        <v/>
      </c>
      <c r="I81" s="12"/>
      <c r="J81" s="13" t="str">
        <f t="shared" si="5"/>
        <v/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 x14ac:dyDescent="0.3">
      <c r="A82" s="12"/>
      <c r="B82" s="13" t="str">
        <f>IF(A82="","",IFERROR(INDEX(Sessions!$R$2:$R$16,MATCH(A82,Sessions!$A$2:$A$16,0)),"?"))</f>
        <v/>
      </c>
      <c r="C82" s="12"/>
      <c r="D82" s="13" t="str">
        <f>IF(C82="","",IFERROR(INDEX(Tasks!$B$2:$B$7,MATCH(C82,Tasks!$A$2:$A$7,0)),"?"))</f>
        <v/>
      </c>
      <c r="E82" s="12"/>
      <c r="F82" s="14"/>
      <c r="G82" s="14"/>
      <c r="H82" s="13" t="str">
        <f t="shared" si="4"/>
        <v/>
      </c>
      <c r="I82" s="12"/>
      <c r="J82" s="13" t="str">
        <f t="shared" si="5"/>
        <v/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 x14ac:dyDescent="0.3">
      <c r="A83" s="12"/>
      <c r="B83" s="13" t="str">
        <f>IF(A83="","",IFERROR(INDEX(Sessions!$R$2:$R$16,MATCH(A83,Sessions!$A$2:$A$16,0)),"?"))</f>
        <v/>
      </c>
      <c r="C83" s="12"/>
      <c r="D83" s="13" t="str">
        <f>IF(C83="","",IFERROR(INDEX(Tasks!$B$2:$B$7,MATCH(C83,Tasks!$A$2:$A$7,0)),"?"))</f>
        <v/>
      </c>
      <c r="E83" s="12"/>
      <c r="F83" s="14"/>
      <c r="G83" s="14"/>
      <c r="H83" s="13" t="str">
        <f t="shared" si="4"/>
        <v/>
      </c>
      <c r="I83" s="12"/>
      <c r="J83" s="13" t="str">
        <f t="shared" si="5"/>
        <v/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x14ac:dyDescent="0.3">
      <c r="A84" s="12"/>
      <c r="B84" s="13" t="str">
        <f>IF(A84="","",IFERROR(INDEX(Sessions!$R$2:$R$16,MATCH(A84,Sessions!$A$2:$A$16,0)),"?"))</f>
        <v/>
      </c>
      <c r="C84" s="12"/>
      <c r="D84" s="13" t="str">
        <f>IF(C84="","",IFERROR(INDEX(Tasks!$B$2:$B$7,MATCH(C84,Tasks!$A$2:$A$7,0)),"?"))</f>
        <v/>
      </c>
      <c r="E84" s="12"/>
      <c r="F84" s="14"/>
      <c r="G84" s="14"/>
      <c r="H84" s="13" t="str">
        <f t="shared" si="4"/>
        <v/>
      </c>
      <c r="I84" s="12"/>
      <c r="J84" s="13" t="str">
        <f t="shared" si="5"/>
        <v/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x14ac:dyDescent="0.3">
      <c r="A85" s="12"/>
      <c r="B85" s="13" t="str">
        <f>IF(A85="","",IFERROR(INDEX(Sessions!$R$2:$R$16,MATCH(A85,Sessions!$A$2:$A$16,0)),"?"))</f>
        <v/>
      </c>
      <c r="C85" s="12"/>
      <c r="D85" s="13" t="str">
        <f>IF(C85="","",IFERROR(INDEX(Tasks!$B$2:$B$7,MATCH(C85,Tasks!$A$2:$A$7,0)),"?"))</f>
        <v/>
      </c>
      <c r="E85" s="12"/>
      <c r="F85" s="14"/>
      <c r="G85" s="14"/>
      <c r="H85" s="13" t="str">
        <f t="shared" si="4"/>
        <v/>
      </c>
      <c r="I85" s="12"/>
      <c r="J85" s="13" t="str">
        <f t="shared" si="5"/>
        <v/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 x14ac:dyDescent="0.3">
      <c r="A86" s="12"/>
      <c r="B86" s="13" t="str">
        <f>IF(A86="","",IFERROR(INDEX(Sessions!$R$2:$R$16,MATCH(A86,Sessions!$A$2:$A$16,0)),"?"))</f>
        <v/>
      </c>
      <c r="C86" s="12"/>
      <c r="D86" s="13" t="str">
        <f>IF(C86="","",IFERROR(INDEX(Tasks!$B$2:$B$7,MATCH(C86,Tasks!$A$2:$A$7,0)),"?"))</f>
        <v/>
      </c>
      <c r="E86" s="12"/>
      <c r="F86" s="14"/>
      <c r="G86" s="14"/>
      <c r="H86" s="13" t="str">
        <f t="shared" si="4"/>
        <v/>
      </c>
      <c r="I86" s="12"/>
      <c r="J86" s="13" t="str">
        <f t="shared" si="5"/>
        <v/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 x14ac:dyDescent="0.3">
      <c r="A87" s="12"/>
      <c r="B87" s="13" t="str">
        <f>IF(A87="","",IFERROR(INDEX(Sessions!$R$2:$R$16,MATCH(A87,Sessions!$A$2:$A$16,0)),"?"))</f>
        <v/>
      </c>
      <c r="C87" s="12"/>
      <c r="D87" s="13" t="str">
        <f>IF(C87="","",IFERROR(INDEX(Tasks!$B$2:$B$7,MATCH(C87,Tasks!$A$2:$A$7,0)),"?"))</f>
        <v/>
      </c>
      <c r="E87" s="12"/>
      <c r="F87" s="14"/>
      <c r="G87" s="14"/>
      <c r="H87" s="13" t="str">
        <f t="shared" si="4"/>
        <v/>
      </c>
      <c r="I87" s="12"/>
      <c r="J87" s="13" t="str">
        <f t="shared" si="5"/>
        <v/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x14ac:dyDescent="0.3">
      <c r="A88" s="12"/>
      <c r="B88" s="13" t="str">
        <f>IF(A88="","",IFERROR(INDEX(Sessions!$R$2:$R$16,MATCH(A88,Sessions!$A$2:$A$16,0)),"?"))</f>
        <v/>
      </c>
      <c r="C88" s="12"/>
      <c r="D88" s="13" t="str">
        <f>IF(C88="","",IFERROR(INDEX(Tasks!$B$2:$B$7,MATCH(C88,Tasks!$A$2:$A$7,0)),"?"))</f>
        <v/>
      </c>
      <c r="E88" s="12"/>
      <c r="F88" s="14"/>
      <c r="G88" s="14"/>
      <c r="H88" s="13" t="str">
        <f t="shared" si="4"/>
        <v/>
      </c>
      <c r="I88" s="12"/>
      <c r="J88" s="13" t="str">
        <f t="shared" si="5"/>
        <v/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 x14ac:dyDescent="0.3">
      <c r="A89" s="12"/>
      <c r="B89" s="13" t="str">
        <f>IF(A89="","",IFERROR(INDEX(Sessions!$R$2:$R$16,MATCH(A89,Sessions!$A$2:$A$16,0)),"?"))</f>
        <v/>
      </c>
      <c r="C89" s="12"/>
      <c r="D89" s="13" t="str">
        <f>IF(C89="","",IFERROR(INDEX(Tasks!$B$2:$B$7,MATCH(C89,Tasks!$A$2:$A$7,0)),"?"))</f>
        <v/>
      </c>
      <c r="E89" s="12"/>
      <c r="F89" s="14"/>
      <c r="G89" s="14"/>
      <c r="H89" s="13" t="str">
        <f t="shared" si="4"/>
        <v/>
      </c>
      <c r="I89" s="12"/>
      <c r="J89" s="13" t="str">
        <f t="shared" si="5"/>
        <v/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 x14ac:dyDescent="0.3">
      <c r="A90" s="12"/>
      <c r="B90" s="13" t="str">
        <f>IF(A90="","",IFERROR(INDEX(Sessions!$R$2:$R$16,MATCH(A90,Sessions!$A$2:$A$16,0)),"?"))</f>
        <v/>
      </c>
      <c r="C90" s="12"/>
      <c r="D90" s="13" t="str">
        <f>IF(C90="","",IFERROR(INDEX(Tasks!$B$2:$B$7,MATCH(C90,Tasks!$A$2:$A$7,0)),"?"))</f>
        <v/>
      </c>
      <c r="E90" s="12"/>
      <c r="F90" s="14"/>
      <c r="G90" s="14"/>
      <c r="H90" s="13" t="str">
        <f t="shared" si="4"/>
        <v/>
      </c>
      <c r="I90" s="12"/>
      <c r="J90" s="13" t="str">
        <f t="shared" si="5"/>
        <v/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 x14ac:dyDescent="0.3">
      <c r="A91" s="12"/>
      <c r="B91" s="13" t="str">
        <f>IF(A91="","",IFERROR(INDEX(Sessions!$R$2:$R$16,MATCH(A91,Sessions!$A$2:$A$16,0)),"?"))</f>
        <v/>
      </c>
      <c r="C91" s="12"/>
      <c r="D91" s="13" t="str">
        <f>IF(C91="","",IFERROR(INDEX(Tasks!$B$2:$B$7,MATCH(C91,Tasks!$A$2:$A$7,0)),"?"))</f>
        <v/>
      </c>
      <c r="E91" s="12"/>
      <c r="F91" s="14"/>
      <c r="G91" s="14"/>
      <c r="H91" s="13" t="str">
        <f t="shared" si="4"/>
        <v/>
      </c>
      <c r="I91" s="12"/>
      <c r="J91" s="13" t="str">
        <f t="shared" si="5"/>
        <v/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 x14ac:dyDescent="0.3">
      <c r="A92" s="12"/>
      <c r="B92" s="13" t="str">
        <f>IF(A92="","",IFERROR(INDEX(Sessions!$R$2:$R$16,MATCH(A92,Sessions!$A$2:$A$16,0)),"?"))</f>
        <v/>
      </c>
      <c r="C92" s="12"/>
      <c r="D92" s="13" t="str">
        <f>IF(C92="","",IFERROR(INDEX(Tasks!$B$2:$B$7,MATCH(C92,Tasks!$A$2:$A$7,0)),"?"))</f>
        <v/>
      </c>
      <c r="E92" s="12"/>
      <c r="F92" s="14"/>
      <c r="G92" s="14"/>
      <c r="H92" s="13" t="str">
        <f t="shared" si="4"/>
        <v/>
      </c>
      <c r="I92" s="12"/>
      <c r="J92" s="13" t="str">
        <f t="shared" si="5"/>
        <v/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x14ac:dyDescent="0.3">
      <c r="A93" s="12"/>
      <c r="B93" s="13" t="str">
        <f>IF(A93="","",IFERROR(INDEX(Sessions!$R$2:$R$16,MATCH(A93,Sessions!$A$2:$A$16,0)),"?"))</f>
        <v/>
      </c>
      <c r="C93" s="12"/>
      <c r="D93" s="13" t="str">
        <f>IF(C93="","",IFERROR(INDEX(Tasks!$B$2:$B$7,MATCH(C93,Tasks!$A$2:$A$7,0)),"?"))</f>
        <v/>
      </c>
      <c r="E93" s="12"/>
      <c r="F93" s="14"/>
      <c r="G93" s="14"/>
      <c r="H93" s="13" t="str">
        <f t="shared" si="4"/>
        <v/>
      </c>
      <c r="I93" s="12"/>
      <c r="J93" s="13" t="str">
        <f t="shared" si="5"/>
        <v/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 x14ac:dyDescent="0.3">
      <c r="A94" s="12"/>
      <c r="B94" s="13" t="str">
        <f>IF(A94="","",IFERROR(INDEX(Sessions!$R$2:$R$16,MATCH(A94,Sessions!$A$2:$A$16,0)),"?"))</f>
        <v/>
      </c>
      <c r="C94" s="12"/>
      <c r="D94" s="13" t="str">
        <f>IF(C94="","",IFERROR(INDEX(Tasks!$B$2:$B$7,MATCH(C94,Tasks!$A$2:$A$7,0)),"?"))</f>
        <v/>
      </c>
      <c r="E94" s="12"/>
      <c r="F94" s="14"/>
      <c r="G94" s="14"/>
      <c r="H94" s="13" t="str">
        <f t="shared" si="4"/>
        <v/>
      </c>
      <c r="I94" s="12"/>
      <c r="J94" s="13" t="str">
        <f t="shared" si="5"/>
        <v/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 x14ac:dyDescent="0.3">
      <c r="A95" s="12"/>
      <c r="B95" s="13" t="str">
        <f>IF(A95="","",IFERROR(INDEX(Sessions!$R$2:$R$16,MATCH(A95,Sessions!$A$2:$A$16,0)),"?"))</f>
        <v/>
      </c>
      <c r="C95" s="12"/>
      <c r="D95" s="13" t="str">
        <f>IF(C95="","",IFERROR(INDEX(Tasks!$B$2:$B$7,MATCH(C95,Tasks!$A$2:$A$7,0)),"?"))</f>
        <v/>
      </c>
      <c r="E95" s="12"/>
      <c r="F95" s="14"/>
      <c r="G95" s="14"/>
      <c r="H95" s="13" t="str">
        <f t="shared" si="4"/>
        <v/>
      </c>
      <c r="I95" s="12"/>
      <c r="J95" s="13" t="str">
        <f t="shared" si="5"/>
        <v/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x14ac:dyDescent="0.3">
      <c r="A96" s="12"/>
      <c r="B96" s="13" t="str">
        <f>IF(A96="","",IFERROR(INDEX(Sessions!$R$2:$R$16,MATCH(A96,Sessions!$A$2:$A$16,0)),"?"))</f>
        <v/>
      </c>
      <c r="C96" s="12"/>
      <c r="D96" s="13" t="str">
        <f>IF(C96="","",IFERROR(INDEX(Tasks!$B$2:$B$7,MATCH(C96,Tasks!$A$2:$A$7,0)),"?"))</f>
        <v/>
      </c>
      <c r="E96" s="12"/>
      <c r="F96" s="14"/>
      <c r="G96" s="14"/>
      <c r="H96" s="13" t="str">
        <f t="shared" si="4"/>
        <v/>
      </c>
      <c r="I96" s="12"/>
      <c r="J96" s="13" t="str">
        <f t="shared" si="5"/>
        <v/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x14ac:dyDescent="0.3">
      <c r="A97" s="12"/>
      <c r="B97" s="13" t="str">
        <f>IF(A97="","",IFERROR(INDEX(Sessions!$R$2:$R$16,MATCH(A97,Sessions!$A$2:$A$16,0)),"?"))</f>
        <v/>
      </c>
      <c r="C97" s="12"/>
      <c r="D97" s="13" t="str">
        <f>IF(C97="","",IFERROR(INDEX(Tasks!$B$2:$B$7,MATCH(C97,Tasks!$A$2:$A$7,0)),"?"))</f>
        <v/>
      </c>
      <c r="E97" s="12"/>
      <c r="F97" s="14"/>
      <c r="G97" s="14"/>
      <c r="H97" s="13" t="str">
        <f t="shared" si="4"/>
        <v/>
      </c>
      <c r="I97" s="12"/>
      <c r="J97" s="13" t="str">
        <f t="shared" si="5"/>
        <v/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x14ac:dyDescent="0.3">
      <c r="A98" s="12"/>
      <c r="B98" s="13" t="str">
        <f>IF(A98="","",IFERROR(INDEX(Sessions!$R$2:$R$16,MATCH(A98,Sessions!$A$2:$A$16,0)),"?"))</f>
        <v/>
      </c>
      <c r="C98" s="12"/>
      <c r="D98" s="13" t="str">
        <f>IF(C98="","",IFERROR(INDEX(Tasks!$B$2:$B$7,MATCH(C98,Tasks!$A$2:$A$7,0)),"?"))</f>
        <v/>
      </c>
      <c r="E98" s="12"/>
      <c r="F98" s="14"/>
      <c r="G98" s="14"/>
      <c r="H98" s="13" t="str">
        <f t="shared" ref="H98:H129" si="6">IF(AND(ISNUMBER(F98),ISNUMBER(G98)),ROUND((G98-F98)*86400,0),"")</f>
        <v/>
      </c>
      <c r="I98" s="12"/>
      <c r="J98" s="13" t="str">
        <f t="shared" ref="J98:J129" si="7">IF(ISNUMBER(I98),I98,IF(ISNUMBER(H98),H98,""))</f>
        <v/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x14ac:dyDescent="0.3">
      <c r="A99" s="12"/>
      <c r="B99" s="13" t="str">
        <f>IF(A99="","",IFERROR(INDEX(Sessions!$R$2:$R$16,MATCH(A99,Sessions!$A$2:$A$16,0)),"?"))</f>
        <v/>
      </c>
      <c r="C99" s="12"/>
      <c r="D99" s="13" t="str">
        <f>IF(C99="","",IFERROR(INDEX(Tasks!$B$2:$B$7,MATCH(C99,Tasks!$A$2:$A$7,0)),"?"))</f>
        <v/>
      </c>
      <c r="E99" s="12"/>
      <c r="F99" s="14"/>
      <c r="G99" s="14"/>
      <c r="H99" s="13" t="str">
        <f t="shared" si="6"/>
        <v/>
      </c>
      <c r="I99" s="12"/>
      <c r="J99" s="13" t="str">
        <f t="shared" si="7"/>
        <v/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x14ac:dyDescent="0.3">
      <c r="A100" s="12"/>
      <c r="B100" s="13" t="str">
        <f>IF(A100="","",IFERROR(INDEX(Sessions!$R$2:$R$16,MATCH(A100,Sessions!$A$2:$A$16,0)),"?"))</f>
        <v/>
      </c>
      <c r="C100" s="12"/>
      <c r="D100" s="13" t="str">
        <f>IF(C100="","",IFERROR(INDEX(Tasks!$B$2:$B$7,MATCH(C100,Tasks!$A$2:$A$7,0)),"?"))</f>
        <v/>
      </c>
      <c r="E100" s="12"/>
      <c r="F100" s="14"/>
      <c r="G100" s="14"/>
      <c r="H100" s="13" t="str">
        <f t="shared" si="6"/>
        <v/>
      </c>
      <c r="I100" s="12"/>
      <c r="J100" s="13" t="str">
        <f t="shared" si="7"/>
        <v/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x14ac:dyDescent="0.3">
      <c r="A101" s="12"/>
      <c r="B101" s="13" t="str">
        <f>IF(A101="","",IFERROR(INDEX(Sessions!$R$2:$R$16,MATCH(A101,Sessions!$A$2:$A$16,0)),"?"))</f>
        <v/>
      </c>
      <c r="C101" s="12"/>
      <c r="D101" s="13" t="str">
        <f>IF(C101="","",IFERROR(INDEX(Tasks!$B$2:$B$7,MATCH(C101,Tasks!$A$2:$A$7,0)),"?"))</f>
        <v/>
      </c>
      <c r="E101" s="12"/>
      <c r="F101" s="14"/>
      <c r="G101" s="14"/>
      <c r="H101" s="13" t="str">
        <f t="shared" si="6"/>
        <v/>
      </c>
      <c r="I101" s="12"/>
      <c r="J101" s="13" t="str">
        <f t="shared" si="7"/>
        <v/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x14ac:dyDescent="0.3">
      <c r="A102" s="12"/>
      <c r="B102" s="13" t="str">
        <f>IF(A102="","",IFERROR(INDEX(Sessions!$R$2:$R$16,MATCH(A102,Sessions!$A$2:$A$16,0)),"?"))</f>
        <v/>
      </c>
      <c r="C102" s="12"/>
      <c r="D102" s="13" t="str">
        <f>IF(C102="","",IFERROR(INDEX(Tasks!$B$2:$B$7,MATCH(C102,Tasks!$A$2:$A$7,0)),"?"))</f>
        <v/>
      </c>
      <c r="E102" s="12"/>
      <c r="F102" s="14"/>
      <c r="G102" s="14"/>
      <c r="H102" s="13" t="str">
        <f t="shared" si="6"/>
        <v/>
      </c>
      <c r="I102" s="12"/>
      <c r="J102" s="13" t="str">
        <f t="shared" si="7"/>
        <v/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x14ac:dyDescent="0.3">
      <c r="A103" s="12"/>
      <c r="B103" s="13" t="str">
        <f>IF(A103="","",IFERROR(INDEX(Sessions!$R$2:$R$16,MATCH(A103,Sessions!$A$2:$A$16,0)),"?"))</f>
        <v/>
      </c>
      <c r="C103" s="12"/>
      <c r="D103" s="13" t="str">
        <f>IF(C103="","",IFERROR(INDEX(Tasks!$B$2:$B$7,MATCH(C103,Tasks!$A$2:$A$7,0)),"?"))</f>
        <v/>
      </c>
      <c r="E103" s="12"/>
      <c r="F103" s="14"/>
      <c r="G103" s="14"/>
      <c r="H103" s="13" t="str">
        <f t="shared" si="6"/>
        <v/>
      </c>
      <c r="I103" s="12"/>
      <c r="J103" s="13" t="str">
        <f t="shared" si="7"/>
        <v/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 x14ac:dyDescent="0.3">
      <c r="A104" s="12"/>
      <c r="B104" s="13" t="str">
        <f>IF(A104="","",IFERROR(INDEX(Sessions!$R$2:$R$16,MATCH(A104,Sessions!$A$2:$A$16,0)),"?"))</f>
        <v/>
      </c>
      <c r="C104" s="12"/>
      <c r="D104" s="13" t="str">
        <f>IF(C104="","",IFERROR(INDEX(Tasks!$B$2:$B$7,MATCH(C104,Tasks!$A$2:$A$7,0)),"?"))</f>
        <v/>
      </c>
      <c r="E104" s="12"/>
      <c r="F104" s="14"/>
      <c r="G104" s="14"/>
      <c r="H104" s="13" t="str">
        <f t="shared" si="6"/>
        <v/>
      </c>
      <c r="I104" s="12"/>
      <c r="J104" s="13" t="str">
        <f t="shared" si="7"/>
        <v/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x14ac:dyDescent="0.3">
      <c r="A105" s="12"/>
      <c r="B105" s="13" t="str">
        <f>IF(A105="","",IFERROR(INDEX(Sessions!$R$2:$R$16,MATCH(A105,Sessions!$A$2:$A$16,0)),"?"))</f>
        <v/>
      </c>
      <c r="C105" s="12"/>
      <c r="D105" s="13" t="str">
        <f>IF(C105="","",IFERROR(INDEX(Tasks!$B$2:$B$7,MATCH(C105,Tasks!$A$2:$A$7,0)),"?"))</f>
        <v/>
      </c>
      <c r="E105" s="12"/>
      <c r="F105" s="14"/>
      <c r="G105" s="14"/>
      <c r="H105" s="13" t="str">
        <f t="shared" si="6"/>
        <v/>
      </c>
      <c r="I105" s="12"/>
      <c r="J105" s="13" t="str">
        <f t="shared" si="7"/>
        <v/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 x14ac:dyDescent="0.3">
      <c r="A106" s="12"/>
      <c r="B106" s="13" t="str">
        <f>IF(A106="","",IFERROR(INDEX(Sessions!$R$2:$R$16,MATCH(A106,Sessions!$A$2:$A$16,0)),"?"))</f>
        <v/>
      </c>
      <c r="C106" s="12"/>
      <c r="D106" s="13" t="str">
        <f>IF(C106="","",IFERROR(INDEX(Tasks!$B$2:$B$7,MATCH(C106,Tasks!$A$2:$A$7,0)),"?"))</f>
        <v/>
      </c>
      <c r="E106" s="12"/>
      <c r="F106" s="14"/>
      <c r="G106" s="14"/>
      <c r="H106" s="13" t="str">
        <f t="shared" si="6"/>
        <v/>
      </c>
      <c r="I106" s="12"/>
      <c r="J106" s="13" t="str">
        <f t="shared" si="7"/>
        <v/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 x14ac:dyDescent="0.3">
      <c r="A107" s="12"/>
      <c r="B107" s="13" t="str">
        <f>IF(A107="","",IFERROR(INDEX(Sessions!$R$2:$R$16,MATCH(A107,Sessions!$A$2:$A$16,0)),"?"))</f>
        <v/>
      </c>
      <c r="C107" s="12"/>
      <c r="D107" s="13" t="str">
        <f>IF(C107="","",IFERROR(INDEX(Tasks!$B$2:$B$7,MATCH(C107,Tasks!$A$2:$A$7,0)),"?"))</f>
        <v/>
      </c>
      <c r="E107" s="12"/>
      <c r="F107" s="14"/>
      <c r="G107" s="14"/>
      <c r="H107" s="13" t="str">
        <f t="shared" si="6"/>
        <v/>
      </c>
      <c r="I107" s="12"/>
      <c r="J107" s="13" t="str">
        <f t="shared" si="7"/>
        <v/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 x14ac:dyDescent="0.3">
      <c r="A108" s="12"/>
      <c r="B108" s="13" t="str">
        <f>IF(A108="","",IFERROR(INDEX(Sessions!$R$2:$R$16,MATCH(A108,Sessions!$A$2:$A$16,0)),"?"))</f>
        <v/>
      </c>
      <c r="C108" s="12"/>
      <c r="D108" s="13" t="str">
        <f>IF(C108="","",IFERROR(INDEX(Tasks!$B$2:$B$7,MATCH(C108,Tasks!$A$2:$A$7,0)),"?"))</f>
        <v/>
      </c>
      <c r="E108" s="12"/>
      <c r="F108" s="14"/>
      <c r="G108" s="14"/>
      <c r="H108" s="13" t="str">
        <f t="shared" si="6"/>
        <v/>
      </c>
      <c r="I108" s="12"/>
      <c r="J108" s="13" t="str">
        <f t="shared" si="7"/>
        <v/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 x14ac:dyDescent="0.3">
      <c r="A109" s="12"/>
      <c r="B109" s="13" t="str">
        <f>IF(A109="","",IFERROR(INDEX(Sessions!$R$2:$R$16,MATCH(A109,Sessions!$A$2:$A$16,0)),"?"))</f>
        <v/>
      </c>
      <c r="C109" s="12"/>
      <c r="D109" s="13" t="str">
        <f>IF(C109="","",IFERROR(INDEX(Tasks!$B$2:$B$7,MATCH(C109,Tasks!$A$2:$A$7,0)),"?"))</f>
        <v/>
      </c>
      <c r="E109" s="12"/>
      <c r="F109" s="14"/>
      <c r="G109" s="14"/>
      <c r="H109" s="13" t="str">
        <f t="shared" si="6"/>
        <v/>
      </c>
      <c r="I109" s="12"/>
      <c r="J109" s="13" t="str">
        <f t="shared" si="7"/>
        <v/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 x14ac:dyDescent="0.3">
      <c r="A110" s="12"/>
      <c r="B110" s="13" t="str">
        <f>IF(A110="","",IFERROR(INDEX(Sessions!$R$2:$R$16,MATCH(A110,Sessions!$A$2:$A$16,0)),"?"))</f>
        <v/>
      </c>
      <c r="C110" s="12"/>
      <c r="D110" s="13" t="str">
        <f>IF(C110="","",IFERROR(INDEX(Tasks!$B$2:$B$7,MATCH(C110,Tasks!$A$2:$A$7,0)),"?"))</f>
        <v/>
      </c>
      <c r="E110" s="12"/>
      <c r="F110" s="14"/>
      <c r="G110" s="14"/>
      <c r="H110" s="13" t="str">
        <f t="shared" si="6"/>
        <v/>
      </c>
      <c r="I110" s="12"/>
      <c r="J110" s="13" t="str">
        <f t="shared" si="7"/>
        <v/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 x14ac:dyDescent="0.3">
      <c r="A111" s="12"/>
      <c r="B111" s="13" t="str">
        <f>IF(A111="","",IFERROR(INDEX(Sessions!$R$2:$R$16,MATCH(A111,Sessions!$A$2:$A$16,0)),"?"))</f>
        <v/>
      </c>
      <c r="C111" s="12"/>
      <c r="D111" s="13" t="str">
        <f>IF(C111="","",IFERROR(INDEX(Tasks!$B$2:$B$7,MATCH(C111,Tasks!$A$2:$A$7,0)),"?"))</f>
        <v/>
      </c>
      <c r="E111" s="12"/>
      <c r="F111" s="14"/>
      <c r="G111" s="14"/>
      <c r="H111" s="13" t="str">
        <f t="shared" si="6"/>
        <v/>
      </c>
      <c r="I111" s="12"/>
      <c r="J111" s="13" t="str">
        <f t="shared" si="7"/>
        <v/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 x14ac:dyDescent="0.3">
      <c r="A112" s="12"/>
      <c r="B112" s="13" t="str">
        <f>IF(A112="","",IFERROR(INDEX(Sessions!$R$2:$R$16,MATCH(A112,Sessions!$A$2:$A$16,0)),"?"))</f>
        <v/>
      </c>
      <c r="C112" s="12"/>
      <c r="D112" s="13" t="str">
        <f>IF(C112="","",IFERROR(INDEX(Tasks!$B$2:$B$7,MATCH(C112,Tasks!$A$2:$A$7,0)),"?"))</f>
        <v/>
      </c>
      <c r="E112" s="12"/>
      <c r="F112" s="14"/>
      <c r="G112" s="14"/>
      <c r="H112" s="13" t="str">
        <f t="shared" si="6"/>
        <v/>
      </c>
      <c r="I112" s="12"/>
      <c r="J112" s="13" t="str">
        <f t="shared" si="7"/>
        <v/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x14ac:dyDescent="0.3">
      <c r="A113" s="12"/>
      <c r="B113" s="13" t="str">
        <f>IF(A113="","",IFERROR(INDEX(Sessions!$R$2:$R$16,MATCH(A113,Sessions!$A$2:$A$16,0)),"?"))</f>
        <v/>
      </c>
      <c r="C113" s="12"/>
      <c r="D113" s="13" t="str">
        <f>IF(C113="","",IFERROR(INDEX(Tasks!$B$2:$B$7,MATCH(C113,Tasks!$A$2:$A$7,0)),"?"))</f>
        <v/>
      </c>
      <c r="E113" s="12"/>
      <c r="F113" s="14"/>
      <c r="G113" s="14"/>
      <c r="H113" s="13" t="str">
        <f t="shared" si="6"/>
        <v/>
      </c>
      <c r="I113" s="12"/>
      <c r="J113" s="13" t="str">
        <f t="shared" si="7"/>
        <v/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 x14ac:dyDescent="0.3">
      <c r="A114" s="12"/>
      <c r="B114" s="13" t="str">
        <f>IF(A114="","",IFERROR(INDEX(Sessions!$R$2:$R$16,MATCH(A114,Sessions!$A$2:$A$16,0)),"?"))</f>
        <v/>
      </c>
      <c r="C114" s="12"/>
      <c r="D114" s="13" t="str">
        <f>IF(C114="","",IFERROR(INDEX(Tasks!$B$2:$B$7,MATCH(C114,Tasks!$A$2:$A$7,0)),"?"))</f>
        <v/>
      </c>
      <c r="E114" s="12"/>
      <c r="F114" s="14"/>
      <c r="G114" s="14"/>
      <c r="H114" s="13" t="str">
        <f t="shared" si="6"/>
        <v/>
      </c>
      <c r="I114" s="12"/>
      <c r="J114" s="13" t="str">
        <f t="shared" si="7"/>
        <v/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 x14ac:dyDescent="0.3">
      <c r="A115" s="12"/>
      <c r="B115" s="13" t="str">
        <f>IF(A115="","",IFERROR(INDEX(Sessions!$R$2:$R$16,MATCH(A115,Sessions!$A$2:$A$16,0)),"?"))</f>
        <v/>
      </c>
      <c r="C115" s="12"/>
      <c r="D115" s="13" t="str">
        <f>IF(C115="","",IFERROR(INDEX(Tasks!$B$2:$B$7,MATCH(C115,Tasks!$A$2:$A$7,0)),"?"))</f>
        <v/>
      </c>
      <c r="E115" s="12"/>
      <c r="F115" s="14"/>
      <c r="G115" s="14"/>
      <c r="H115" s="13" t="str">
        <f t="shared" si="6"/>
        <v/>
      </c>
      <c r="I115" s="12"/>
      <c r="J115" s="13" t="str">
        <f t="shared" si="7"/>
        <v/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 x14ac:dyDescent="0.3">
      <c r="A116" s="12"/>
      <c r="B116" s="13" t="str">
        <f>IF(A116="","",IFERROR(INDEX(Sessions!$R$2:$R$16,MATCH(A116,Sessions!$A$2:$A$16,0)),"?"))</f>
        <v/>
      </c>
      <c r="C116" s="12"/>
      <c r="D116" s="13" t="str">
        <f>IF(C116="","",IFERROR(INDEX(Tasks!$B$2:$B$7,MATCH(C116,Tasks!$A$2:$A$7,0)),"?"))</f>
        <v/>
      </c>
      <c r="E116" s="12"/>
      <c r="F116" s="14"/>
      <c r="G116" s="14"/>
      <c r="H116" s="13" t="str">
        <f t="shared" si="6"/>
        <v/>
      </c>
      <c r="I116" s="12"/>
      <c r="J116" s="13" t="str">
        <f t="shared" si="7"/>
        <v/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 x14ac:dyDescent="0.3">
      <c r="A117" s="12"/>
      <c r="B117" s="13" t="str">
        <f>IF(A117="","",IFERROR(INDEX(Sessions!$R$2:$R$16,MATCH(A117,Sessions!$A$2:$A$16,0)),"?"))</f>
        <v/>
      </c>
      <c r="C117" s="12"/>
      <c r="D117" s="13" t="str">
        <f>IF(C117="","",IFERROR(INDEX(Tasks!$B$2:$B$7,MATCH(C117,Tasks!$A$2:$A$7,0)),"?"))</f>
        <v/>
      </c>
      <c r="E117" s="12"/>
      <c r="F117" s="14"/>
      <c r="G117" s="14"/>
      <c r="H117" s="13" t="str">
        <f t="shared" si="6"/>
        <v/>
      </c>
      <c r="I117" s="12"/>
      <c r="J117" s="13" t="str">
        <f t="shared" si="7"/>
        <v/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x14ac:dyDescent="0.3">
      <c r="A118" s="12"/>
      <c r="B118" s="13" t="str">
        <f>IF(A118="","",IFERROR(INDEX(Sessions!$R$2:$R$16,MATCH(A118,Sessions!$A$2:$A$16,0)),"?"))</f>
        <v/>
      </c>
      <c r="C118" s="12"/>
      <c r="D118" s="13" t="str">
        <f>IF(C118="","",IFERROR(INDEX(Tasks!$B$2:$B$7,MATCH(C118,Tasks!$A$2:$A$7,0)),"?"))</f>
        <v/>
      </c>
      <c r="E118" s="12"/>
      <c r="F118" s="14"/>
      <c r="G118" s="14"/>
      <c r="H118" s="13" t="str">
        <f t="shared" si="6"/>
        <v/>
      </c>
      <c r="I118" s="12"/>
      <c r="J118" s="13" t="str">
        <f t="shared" si="7"/>
        <v/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 x14ac:dyDescent="0.3">
      <c r="A119" s="12"/>
      <c r="B119" s="13" t="str">
        <f>IF(A119="","",IFERROR(INDEX(Sessions!$R$2:$R$16,MATCH(A119,Sessions!$A$2:$A$16,0)),"?"))</f>
        <v/>
      </c>
      <c r="C119" s="12"/>
      <c r="D119" s="13" t="str">
        <f>IF(C119="","",IFERROR(INDEX(Tasks!$B$2:$B$7,MATCH(C119,Tasks!$A$2:$A$7,0)),"?"))</f>
        <v/>
      </c>
      <c r="E119" s="12"/>
      <c r="F119" s="14"/>
      <c r="G119" s="14"/>
      <c r="H119" s="13" t="str">
        <f t="shared" si="6"/>
        <v/>
      </c>
      <c r="I119" s="12"/>
      <c r="J119" s="13" t="str">
        <f t="shared" si="7"/>
        <v/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:21" x14ac:dyDescent="0.3">
      <c r="A120" s="12"/>
      <c r="B120" s="13" t="str">
        <f>IF(A120="","",IFERROR(INDEX(Sessions!$R$2:$R$16,MATCH(A120,Sessions!$A$2:$A$16,0)),"?"))</f>
        <v/>
      </c>
      <c r="C120" s="12"/>
      <c r="D120" s="13" t="str">
        <f>IF(C120="","",IFERROR(INDEX(Tasks!$B$2:$B$7,MATCH(C120,Tasks!$A$2:$A$7,0)),"?"))</f>
        <v/>
      </c>
      <c r="E120" s="12"/>
      <c r="F120" s="14"/>
      <c r="G120" s="14"/>
      <c r="H120" s="13" t="str">
        <f t="shared" si="6"/>
        <v/>
      </c>
      <c r="I120" s="12"/>
      <c r="J120" s="13" t="str">
        <f t="shared" si="7"/>
        <v/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:21" x14ac:dyDescent="0.3">
      <c r="A121" s="12"/>
      <c r="B121" s="13" t="str">
        <f>IF(A121="","",IFERROR(INDEX(Sessions!$R$2:$R$16,MATCH(A121,Sessions!$A$2:$A$16,0)),"?"))</f>
        <v/>
      </c>
      <c r="C121" s="12"/>
      <c r="D121" s="13" t="str">
        <f>IF(C121="","",IFERROR(INDEX(Tasks!$B$2:$B$7,MATCH(C121,Tasks!$A$2:$A$7,0)),"?"))</f>
        <v/>
      </c>
      <c r="E121" s="12"/>
      <c r="F121" s="14"/>
      <c r="G121" s="14"/>
      <c r="H121" s="13" t="str">
        <f t="shared" si="6"/>
        <v/>
      </c>
      <c r="I121" s="12"/>
      <c r="J121" s="13" t="str">
        <f t="shared" si="7"/>
        <v/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:21" x14ac:dyDescent="0.3">
      <c r="A122" s="12"/>
      <c r="B122" s="13" t="str">
        <f>IF(A122="","",IFERROR(INDEX(Sessions!$R$2:$R$16,MATCH(A122,Sessions!$A$2:$A$16,0)),"?"))</f>
        <v/>
      </c>
      <c r="C122" s="12"/>
      <c r="D122" s="13" t="str">
        <f>IF(C122="","",IFERROR(INDEX(Tasks!$B$2:$B$7,MATCH(C122,Tasks!$A$2:$A$7,0)),"?"))</f>
        <v/>
      </c>
      <c r="E122" s="12"/>
      <c r="F122" s="14"/>
      <c r="G122" s="14"/>
      <c r="H122" s="13" t="str">
        <f t="shared" si="6"/>
        <v/>
      </c>
      <c r="I122" s="12"/>
      <c r="J122" s="13" t="str">
        <f t="shared" si="7"/>
        <v/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:21" x14ac:dyDescent="0.3">
      <c r="A123" s="12"/>
      <c r="B123" s="13" t="str">
        <f>IF(A123="","",IFERROR(INDEX(Sessions!$R$2:$R$16,MATCH(A123,Sessions!$A$2:$A$16,0)),"?"))</f>
        <v/>
      </c>
      <c r="C123" s="12"/>
      <c r="D123" s="13" t="str">
        <f>IF(C123="","",IFERROR(INDEX(Tasks!$B$2:$B$7,MATCH(C123,Tasks!$A$2:$A$7,0)),"?"))</f>
        <v/>
      </c>
      <c r="E123" s="12"/>
      <c r="F123" s="14"/>
      <c r="G123" s="14"/>
      <c r="H123" s="13" t="str">
        <f t="shared" si="6"/>
        <v/>
      </c>
      <c r="I123" s="12"/>
      <c r="J123" s="13" t="str">
        <f t="shared" si="7"/>
        <v/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x14ac:dyDescent="0.3">
      <c r="A124" s="12"/>
      <c r="B124" s="13" t="str">
        <f>IF(A124="","",IFERROR(INDEX(Sessions!$R$2:$R$16,MATCH(A124,Sessions!$A$2:$A$16,0)),"?"))</f>
        <v/>
      </c>
      <c r="C124" s="12"/>
      <c r="D124" s="13" t="str">
        <f>IF(C124="","",IFERROR(INDEX(Tasks!$B$2:$B$7,MATCH(C124,Tasks!$A$2:$A$7,0)),"?"))</f>
        <v/>
      </c>
      <c r="E124" s="12"/>
      <c r="F124" s="14"/>
      <c r="G124" s="14"/>
      <c r="H124" s="13" t="str">
        <f t="shared" si="6"/>
        <v/>
      </c>
      <c r="I124" s="12"/>
      <c r="J124" s="13" t="str">
        <f t="shared" si="7"/>
        <v/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spans="1:21" x14ac:dyDescent="0.3">
      <c r="A125" s="12"/>
      <c r="B125" s="13" t="str">
        <f>IF(A125="","",IFERROR(INDEX(Sessions!$R$2:$R$16,MATCH(A125,Sessions!$A$2:$A$16,0)),"?"))</f>
        <v/>
      </c>
      <c r="C125" s="12"/>
      <c r="D125" s="13" t="str">
        <f>IF(C125="","",IFERROR(INDEX(Tasks!$B$2:$B$7,MATCH(C125,Tasks!$A$2:$A$7,0)),"?"))</f>
        <v/>
      </c>
      <c r="E125" s="12"/>
      <c r="F125" s="14"/>
      <c r="G125" s="14"/>
      <c r="H125" s="13" t="str">
        <f t="shared" si="6"/>
        <v/>
      </c>
      <c r="I125" s="12"/>
      <c r="J125" s="13" t="str">
        <f t="shared" si="7"/>
        <v/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spans="1:21" x14ac:dyDescent="0.3">
      <c r="A126" s="12"/>
      <c r="B126" s="13" t="str">
        <f>IF(A126="","",IFERROR(INDEX(Sessions!$R$2:$R$16,MATCH(A126,Sessions!$A$2:$A$16,0)),"?"))</f>
        <v/>
      </c>
      <c r="C126" s="12"/>
      <c r="D126" s="13" t="str">
        <f>IF(C126="","",IFERROR(INDEX(Tasks!$B$2:$B$7,MATCH(C126,Tasks!$A$2:$A$7,0)),"?"))</f>
        <v/>
      </c>
      <c r="E126" s="12"/>
      <c r="F126" s="14"/>
      <c r="G126" s="14"/>
      <c r="H126" s="13" t="str">
        <f t="shared" si="6"/>
        <v/>
      </c>
      <c r="I126" s="12"/>
      <c r="J126" s="13" t="str">
        <f t="shared" si="7"/>
        <v/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spans="1:21" x14ac:dyDescent="0.3">
      <c r="A127" s="12"/>
      <c r="B127" s="13" t="str">
        <f>IF(A127="","",IFERROR(INDEX(Sessions!$R$2:$R$16,MATCH(A127,Sessions!$A$2:$A$16,0)),"?"))</f>
        <v/>
      </c>
      <c r="C127" s="12"/>
      <c r="D127" s="13" t="str">
        <f>IF(C127="","",IFERROR(INDEX(Tasks!$B$2:$B$7,MATCH(C127,Tasks!$A$2:$A$7,0)),"?"))</f>
        <v/>
      </c>
      <c r="E127" s="12"/>
      <c r="F127" s="14"/>
      <c r="G127" s="14"/>
      <c r="H127" s="13" t="str">
        <f t="shared" si="6"/>
        <v/>
      </c>
      <c r="I127" s="12"/>
      <c r="J127" s="13" t="str">
        <f t="shared" si="7"/>
        <v/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spans="1:21" x14ac:dyDescent="0.3">
      <c r="A128" s="12"/>
      <c r="B128" s="13" t="str">
        <f>IF(A128="","",IFERROR(INDEX(Sessions!$R$2:$R$16,MATCH(A128,Sessions!$A$2:$A$16,0)),"?"))</f>
        <v/>
      </c>
      <c r="C128" s="12"/>
      <c r="D128" s="13" t="str">
        <f>IF(C128="","",IFERROR(INDEX(Tasks!$B$2:$B$7,MATCH(C128,Tasks!$A$2:$A$7,0)),"?"))</f>
        <v/>
      </c>
      <c r="E128" s="12"/>
      <c r="F128" s="14"/>
      <c r="G128" s="14"/>
      <c r="H128" s="13" t="str">
        <f t="shared" si="6"/>
        <v/>
      </c>
      <c r="I128" s="12"/>
      <c r="J128" s="13" t="str">
        <f t="shared" si="7"/>
        <v/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x14ac:dyDescent="0.3">
      <c r="A129" s="12"/>
      <c r="B129" s="13" t="str">
        <f>IF(A129="","",IFERROR(INDEX(Sessions!$R$2:$R$16,MATCH(A129,Sessions!$A$2:$A$16,0)),"?"))</f>
        <v/>
      </c>
      <c r="C129" s="12"/>
      <c r="D129" s="13" t="str">
        <f>IF(C129="","",IFERROR(INDEX(Tasks!$B$2:$B$7,MATCH(C129,Tasks!$A$2:$A$7,0)),"?"))</f>
        <v/>
      </c>
      <c r="E129" s="12"/>
      <c r="F129" s="14"/>
      <c r="G129" s="14"/>
      <c r="H129" s="13" t="str">
        <f t="shared" si="6"/>
        <v/>
      </c>
      <c r="I129" s="12"/>
      <c r="J129" s="13" t="str">
        <f t="shared" si="7"/>
        <v/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spans="1:21" x14ac:dyDescent="0.3">
      <c r="A130" s="12"/>
      <c r="B130" s="13" t="str">
        <f>IF(A130="","",IFERROR(INDEX(Sessions!$R$2:$R$16,MATCH(A130,Sessions!$A$2:$A$16,0)),"?"))</f>
        <v/>
      </c>
      <c r="C130" s="12"/>
      <c r="D130" s="13" t="str">
        <f>IF(C130="","",IFERROR(INDEX(Tasks!$B$2:$B$7,MATCH(C130,Tasks!$A$2:$A$7,0)),"?"))</f>
        <v/>
      </c>
      <c r="E130" s="12"/>
      <c r="F130" s="14"/>
      <c r="G130" s="14"/>
      <c r="H130" s="13" t="str">
        <f t="shared" ref="H130:H161" si="8">IF(AND(ISNUMBER(F130),ISNUMBER(G130)),ROUND((G130-F130)*86400,0),"")</f>
        <v/>
      </c>
      <c r="I130" s="12"/>
      <c r="J130" s="13" t="str">
        <f t="shared" ref="J130:J161" si="9">IF(ISNUMBER(I130),I130,IF(ISNUMBER(H130),H130,""))</f>
        <v/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spans="1:21" x14ac:dyDescent="0.3">
      <c r="A131" s="12"/>
      <c r="B131" s="13" t="str">
        <f>IF(A131="","",IFERROR(INDEX(Sessions!$R$2:$R$16,MATCH(A131,Sessions!$A$2:$A$16,0)),"?"))</f>
        <v/>
      </c>
      <c r="C131" s="12"/>
      <c r="D131" s="13" t="str">
        <f>IF(C131="","",IFERROR(INDEX(Tasks!$B$2:$B$7,MATCH(C131,Tasks!$A$2:$A$7,0)),"?"))</f>
        <v/>
      </c>
      <c r="E131" s="12"/>
      <c r="F131" s="14"/>
      <c r="G131" s="14"/>
      <c r="H131" s="13" t="str">
        <f t="shared" si="8"/>
        <v/>
      </c>
      <c r="I131" s="12"/>
      <c r="J131" s="13" t="str">
        <f t="shared" si="9"/>
        <v/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x14ac:dyDescent="0.3">
      <c r="A132" s="12"/>
      <c r="B132" s="13" t="str">
        <f>IF(A132="","",IFERROR(INDEX(Sessions!$R$2:$R$16,MATCH(A132,Sessions!$A$2:$A$16,0)),"?"))</f>
        <v/>
      </c>
      <c r="C132" s="12"/>
      <c r="D132" s="13" t="str">
        <f>IF(C132="","",IFERROR(INDEX(Tasks!$B$2:$B$7,MATCH(C132,Tasks!$A$2:$A$7,0)),"?"))</f>
        <v/>
      </c>
      <c r="E132" s="12"/>
      <c r="F132" s="14"/>
      <c r="G132" s="14"/>
      <c r="H132" s="13" t="str">
        <f t="shared" si="8"/>
        <v/>
      </c>
      <c r="I132" s="12"/>
      <c r="J132" s="13" t="str">
        <f t="shared" si="9"/>
        <v/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spans="1:21" x14ac:dyDescent="0.3">
      <c r="A133" s="12"/>
      <c r="B133" s="13" t="str">
        <f>IF(A133="","",IFERROR(INDEX(Sessions!$R$2:$R$16,MATCH(A133,Sessions!$A$2:$A$16,0)),"?"))</f>
        <v/>
      </c>
      <c r="C133" s="12"/>
      <c r="D133" s="13" t="str">
        <f>IF(C133="","",IFERROR(INDEX(Tasks!$B$2:$B$7,MATCH(C133,Tasks!$A$2:$A$7,0)),"?"))</f>
        <v/>
      </c>
      <c r="E133" s="12"/>
      <c r="F133" s="14"/>
      <c r="G133" s="14"/>
      <c r="H133" s="13" t="str">
        <f t="shared" si="8"/>
        <v/>
      </c>
      <c r="I133" s="12"/>
      <c r="J133" s="13" t="str">
        <f t="shared" si="9"/>
        <v/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spans="1:21" x14ac:dyDescent="0.3">
      <c r="A134" s="12"/>
      <c r="B134" s="13" t="str">
        <f>IF(A134="","",IFERROR(INDEX(Sessions!$R$2:$R$16,MATCH(A134,Sessions!$A$2:$A$16,0)),"?"))</f>
        <v/>
      </c>
      <c r="C134" s="12"/>
      <c r="D134" s="13" t="str">
        <f>IF(C134="","",IFERROR(INDEX(Tasks!$B$2:$B$7,MATCH(C134,Tasks!$A$2:$A$7,0)),"?"))</f>
        <v/>
      </c>
      <c r="E134" s="12"/>
      <c r="F134" s="14"/>
      <c r="G134" s="14"/>
      <c r="H134" s="13" t="str">
        <f t="shared" si="8"/>
        <v/>
      </c>
      <c r="I134" s="12"/>
      <c r="J134" s="13" t="str">
        <f t="shared" si="9"/>
        <v/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spans="1:21" x14ac:dyDescent="0.3">
      <c r="A135" s="12"/>
      <c r="B135" s="13" t="str">
        <f>IF(A135="","",IFERROR(INDEX(Sessions!$R$2:$R$16,MATCH(A135,Sessions!$A$2:$A$16,0)),"?"))</f>
        <v/>
      </c>
      <c r="C135" s="12"/>
      <c r="D135" s="13" t="str">
        <f>IF(C135="","",IFERROR(INDEX(Tasks!$B$2:$B$7,MATCH(C135,Tasks!$A$2:$A$7,0)),"?"))</f>
        <v/>
      </c>
      <c r="E135" s="12"/>
      <c r="F135" s="14"/>
      <c r="G135" s="14"/>
      <c r="H135" s="13" t="str">
        <f t="shared" si="8"/>
        <v/>
      </c>
      <c r="I135" s="12"/>
      <c r="J135" s="13" t="str">
        <f t="shared" si="9"/>
        <v/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spans="1:21" x14ac:dyDescent="0.3">
      <c r="A136" s="12"/>
      <c r="B136" s="13" t="str">
        <f>IF(A136="","",IFERROR(INDEX(Sessions!$R$2:$R$16,MATCH(A136,Sessions!$A$2:$A$16,0)),"?"))</f>
        <v/>
      </c>
      <c r="C136" s="12"/>
      <c r="D136" s="13" t="str">
        <f>IF(C136="","",IFERROR(INDEX(Tasks!$B$2:$B$7,MATCH(C136,Tasks!$A$2:$A$7,0)),"?"))</f>
        <v/>
      </c>
      <c r="E136" s="12"/>
      <c r="F136" s="14"/>
      <c r="G136" s="14"/>
      <c r="H136" s="13" t="str">
        <f t="shared" si="8"/>
        <v/>
      </c>
      <c r="I136" s="12"/>
      <c r="J136" s="13" t="str">
        <f t="shared" si="9"/>
        <v/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x14ac:dyDescent="0.3">
      <c r="A137" s="12"/>
      <c r="B137" s="13" t="str">
        <f>IF(A137="","",IFERROR(INDEX(Sessions!$R$2:$R$16,MATCH(A137,Sessions!$A$2:$A$16,0)),"?"))</f>
        <v/>
      </c>
      <c r="C137" s="12"/>
      <c r="D137" s="13" t="str">
        <f>IF(C137="","",IFERROR(INDEX(Tasks!$B$2:$B$7,MATCH(C137,Tasks!$A$2:$A$7,0)),"?"))</f>
        <v/>
      </c>
      <c r="E137" s="12"/>
      <c r="F137" s="14"/>
      <c r="G137" s="14"/>
      <c r="H137" s="13" t="str">
        <f t="shared" si="8"/>
        <v/>
      </c>
      <c r="I137" s="12"/>
      <c r="J137" s="13" t="str">
        <f t="shared" si="9"/>
        <v/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spans="1:21" x14ac:dyDescent="0.3">
      <c r="A138" s="12"/>
      <c r="B138" s="13" t="str">
        <f>IF(A138="","",IFERROR(INDEX(Sessions!$R$2:$R$16,MATCH(A138,Sessions!$A$2:$A$16,0)),"?"))</f>
        <v/>
      </c>
      <c r="C138" s="12"/>
      <c r="D138" s="13" t="str">
        <f>IF(C138="","",IFERROR(INDEX(Tasks!$B$2:$B$7,MATCH(C138,Tasks!$A$2:$A$7,0)),"?"))</f>
        <v/>
      </c>
      <c r="E138" s="12"/>
      <c r="F138" s="14"/>
      <c r="G138" s="14"/>
      <c r="H138" s="13" t="str">
        <f t="shared" si="8"/>
        <v/>
      </c>
      <c r="I138" s="12"/>
      <c r="J138" s="13" t="str">
        <f t="shared" si="9"/>
        <v/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spans="1:21" x14ac:dyDescent="0.3">
      <c r="A139" s="12"/>
      <c r="B139" s="13" t="str">
        <f>IF(A139="","",IFERROR(INDEX(Sessions!$R$2:$R$16,MATCH(A139,Sessions!$A$2:$A$16,0)),"?"))</f>
        <v/>
      </c>
      <c r="C139" s="12"/>
      <c r="D139" s="13" t="str">
        <f>IF(C139="","",IFERROR(INDEX(Tasks!$B$2:$B$7,MATCH(C139,Tasks!$A$2:$A$7,0)),"?"))</f>
        <v/>
      </c>
      <c r="E139" s="12"/>
      <c r="F139" s="14"/>
      <c r="G139" s="14"/>
      <c r="H139" s="13" t="str">
        <f t="shared" si="8"/>
        <v/>
      </c>
      <c r="I139" s="12"/>
      <c r="J139" s="13" t="str">
        <f t="shared" si="9"/>
        <v/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spans="1:21" x14ac:dyDescent="0.3">
      <c r="A140" s="12"/>
      <c r="B140" s="13" t="str">
        <f>IF(A140="","",IFERROR(INDEX(Sessions!$R$2:$R$16,MATCH(A140,Sessions!$A$2:$A$16,0)),"?"))</f>
        <v/>
      </c>
      <c r="C140" s="12"/>
      <c r="D140" s="13" t="str">
        <f>IF(C140="","",IFERROR(INDEX(Tasks!$B$2:$B$7,MATCH(C140,Tasks!$A$2:$A$7,0)),"?"))</f>
        <v/>
      </c>
      <c r="E140" s="12"/>
      <c r="F140" s="14"/>
      <c r="G140" s="14"/>
      <c r="H140" s="13" t="str">
        <f t="shared" si="8"/>
        <v/>
      </c>
      <c r="I140" s="12"/>
      <c r="J140" s="13" t="str">
        <f t="shared" si="9"/>
        <v/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x14ac:dyDescent="0.3">
      <c r="A141" s="12"/>
      <c r="B141" s="13" t="str">
        <f>IF(A141="","",IFERROR(INDEX(Sessions!$R$2:$R$16,MATCH(A141,Sessions!$A$2:$A$16,0)),"?"))</f>
        <v/>
      </c>
      <c r="C141" s="12"/>
      <c r="D141" s="13" t="str">
        <f>IF(C141="","",IFERROR(INDEX(Tasks!$B$2:$B$7,MATCH(C141,Tasks!$A$2:$A$7,0)),"?"))</f>
        <v/>
      </c>
      <c r="E141" s="12"/>
      <c r="F141" s="14"/>
      <c r="G141" s="14"/>
      <c r="H141" s="13" t="str">
        <f t="shared" si="8"/>
        <v/>
      </c>
      <c r="I141" s="12"/>
      <c r="J141" s="13" t="str">
        <f t="shared" si="9"/>
        <v/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spans="1:21" x14ac:dyDescent="0.3">
      <c r="A142" s="12"/>
      <c r="B142" s="13" t="str">
        <f>IF(A142="","",IFERROR(INDEX(Sessions!$R$2:$R$16,MATCH(A142,Sessions!$A$2:$A$16,0)),"?"))</f>
        <v/>
      </c>
      <c r="C142" s="12"/>
      <c r="D142" s="13" t="str">
        <f>IF(C142="","",IFERROR(INDEX(Tasks!$B$2:$B$7,MATCH(C142,Tasks!$A$2:$A$7,0)),"?"))</f>
        <v/>
      </c>
      <c r="E142" s="12"/>
      <c r="F142" s="14"/>
      <c r="G142" s="14"/>
      <c r="H142" s="13" t="str">
        <f t="shared" si="8"/>
        <v/>
      </c>
      <c r="I142" s="12"/>
      <c r="J142" s="13" t="str">
        <f t="shared" si="9"/>
        <v/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spans="1:21" x14ac:dyDescent="0.3">
      <c r="A143" s="12"/>
      <c r="B143" s="13" t="str">
        <f>IF(A143="","",IFERROR(INDEX(Sessions!$R$2:$R$16,MATCH(A143,Sessions!$A$2:$A$16,0)),"?"))</f>
        <v/>
      </c>
      <c r="C143" s="12"/>
      <c r="D143" s="13" t="str">
        <f>IF(C143="","",IFERROR(INDEX(Tasks!$B$2:$B$7,MATCH(C143,Tasks!$A$2:$A$7,0)),"?"))</f>
        <v/>
      </c>
      <c r="E143" s="12"/>
      <c r="F143" s="14"/>
      <c r="G143" s="14"/>
      <c r="H143" s="13" t="str">
        <f t="shared" si="8"/>
        <v/>
      </c>
      <c r="I143" s="12"/>
      <c r="J143" s="13" t="str">
        <f t="shared" si="9"/>
        <v/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spans="1:21" x14ac:dyDescent="0.3">
      <c r="A144" s="12"/>
      <c r="B144" s="13" t="str">
        <f>IF(A144="","",IFERROR(INDEX(Sessions!$R$2:$R$16,MATCH(A144,Sessions!$A$2:$A$16,0)),"?"))</f>
        <v/>
      </c>
      <c r="C144" s="12"/>
      <c r="D144" s="13" t="str">
        <f>IF(C144="","",IFERROR(INDEX(Tasks!$B$2:$B$7,MATCH(C144,Tasks!$A$2:$A$7,0)),"?"))</f>
        <v/>
      </c>
      <c r="E144" s="12"/>
      <c r="F144" s="14"/>
      <c r="G144" s="14"/>
      <c r="H144" s="13" t="str">
        <f t="shared" si="8"/>
        <v/>
      </c>
      <c r="I144" s="12"/>
      <c r="J144" s="13" t="str">
        <f t="shared" si="9"/>
        <v/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x14ac:dyDescent="0.3">
      <c r="A145" s="12"/>
      <c r="B145" s="13" t="str">
        <f>IF(A145="","",IFERROR(INDEX(Sessions!$R$2:$R$16,MATCH(A145,Sessions!$A$2:$A$16,0)),"?"))</f>
        <v/>
      </c>
      <c r="C145" s="12"/>
      <c r="D145" s="13" t="str">
        <f>IF(C145="","",IFERROR(INDEX(Tasks!$B$2:$B$7,MATCH(C145,Tasks!$A$2:$A$7,0)),"?"))</f>
        <v/>
      </c>
      <c r="E145" s="12"/>
      <c r="F145" s="14"/>
      <c r="G145" s="14"/>
      <c r="H145" s="13" t="str">
        <f t="shared" si="8"/>
        <v/>
      </c>
      <c r="I145" s="12"/>
      <c r="J145" s="13" t="str">
        <f t="shared" si="9"/>
        <v/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spans="1:21" x14ac:dyDescent="0.3">
      <c r="A146" s="12"/>
      <c r="B146" s="13" t="str">
        <f>IF(A146="","",IFERROR(INDEX(Sessions!$R$2:$R$16,MATCH(A146,Sessions!$A$2:$A$16,0)),"?"))</f>
        <v/>
      </c>
      <c r="C146" s="12"/>
      <c r="D146" s="13" t="str">
        <f>IF(C146="","",IFERROR(INDEX(Tasks!$B$2:$B$7,MATCH(C146,Tasks!$A$2:$A$7,0)),"?"))</f>
        <v/>
      </c>
      <c r="E146" s="12"/>
      <c r="F146" s="14"/>
      <c r="G146" s="14"/>
      <c r="H146" s="13" t="str">
        <f t="shared" si="8"/>
        <v/>
      </c>
      <c r="I146" s="12"/>
      <c r="J146" s="13" t="str">
        <f t="shared" si="9"/>
        <v/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spans="1:21" x14ac:dyDescent="0.3">
      <c r="A147" s="12"/>
      <c r="B147" s="13" t="str">
        <f>IF(A147="","",IFERROR(INDEX(Sessions!$R$2:$R$16,MATCH(A147,Sessions!$A$2:$A$16,0)),"?"))</f>
        <v/>
      </c>
      <c r="C147" s="12"/>
      <c r="D147" s="13" t="str">
        <f>IF(C147="","",IFERROR(INDEX(Tasks!$B$2:$B$7,MATCH(C147,Tasks!$A$2:$A$7,0)),"?"))</f>
        <v/>
      </c>
      <c r="E147" s="12"/>
      <c r="F147" s="14"/>
      <c r="G147" s="14"/>
      <c r="H147" s="13" t="str">
        <f t="shared" si="8"/>
        <v/>
      </c>
      <c r="I147" s="12"/>
      <c r="J147" s="13" t="str">
        <f t="shared" si="9"/>
        <v/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spans="1:21" x14ac:dyDescent="0.3">
      <c r="A148" s="12"/>
      <c r="B148" s="13" t="str">
        <f>IF(A148="","",IFERROR(INDEX(Sessions!$R$2:$R$16,MATCH(A148,Sessions!$A$2:$A$16,0)),"?"))</f>
        <v/>
      </c>
      <c r="C148" s="12"/>
      <c r="D148" s="13" t="str">
        <f>IF(C148="","",IFERROR(INDEX(Tasks!$B$2:$B$7,MATCH(C148,Tasks!$A$2:$A$7,0)),"?"))</f>
        <v/>
      </c>
      <c r="E148" s="12"/>
      <c r="F148" s="14"/>
      <c r="G148" s="14"/>
      <c r="H148" s="13" t="str">
        <f t="shared" si="8"/>
        <v/>
      </c>
      <c r="I148" s="12"/>
      <c r="J148" s="13" t="str">
        <f t="shared" si="9"/>
        <v/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x14ac:dyDescent="0.3">
      <c r="A149" s="12"/>
      <c r="B149" s="13" t="str">
        <f>IF(A149="","",IFERROR(INDEX(Sessions!$R$2:$R$16,MATCH(A149,Sessions!$A$2:$A$16,0)),"?"))</f>
        <v/>
      </c>
      <c r="C149" s="12"/>
      <c r="D149" s="13" t="str">
        <f>IF(C149="","",IFERROR(INDEX(Tasks!$B$2:$B$7,MATCH(C149,Tasks!$A$2:$A$7,0)),"?"))</f>
        <v/>
      </c>
      <c r="E149" s="12"/>
      <c r="F149" s="14"/>
      <c r="G149" s="14"/>
      <c r="H149" s="13" t="str">
        <f t="shared" si="8"/>
        <v/>
      </c>
      <c r="I149" s="12"/>
      <c r="J149" s="13" t="str">
        <f t="shared" si="9"/>
        <v/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spans="1:21" x14ac:dyDescent="0.3">
      <c r="A150" s="12"/>
      <c r="B150" s="13" t="str">
        <f>IF(A150="","",IFERROR(INDEX(Sessions!$R$2:$R$16,MATCH(A150,Sessions!$A$2:$A$16,0)),"?"))</f>
        <v/>
      </c>
      <c r="C150" s="12"/>
      <c r="D150" s="13" t="str">
        <f>IF(C150="","",IFERROR(INDEX(Tasks!$B$2:$B$7,MATCH(C150,Tasks!$A$2:$A$7,0)),"?"))</f>
        <v/>
      </c>
      <c r="E150" s="12"/>
      <c r="F150" s="14"/>
      <c r="G150" s="14"/>
      <c r="H150" s="13" t="str">
        <f t="shared" si="8"/>
        <v/>
      </c>
      <c r="I150" s="12"/>
      <c r="J150" s="13" t="str">
        <f t="shared" si="9"/>
        <v/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spans="1:21" x14ac:dyDescent="0.3">
      <c r="A151" s="12"/>
      <c r="B151" s="13" t="str">
        <f>IF(A151="","",IFERROR(INDEX(Sessions!$R$2:$R$16,MATCH(A151,Sessions!$A$2:$A$16,0)),"?"))</f>
        <v/>
      </c>
      <c r="C151" s="12"/>
      <c r="D151" s="13" t="str">
        <f>IF(C151="","",IFERROR(INDEX(Tasks!$B$2:$B$7,MATCH(C151,Tasks!$A$2:$A$7,0)),"?"))</f>
        <v/>
      </c>
      <c r="E151" s="12"/>
      <c r="F151" s="14"/>
      <c r="G151" s="14"/>
      <c r="H151" s="13" t="str">
        <f t="shared" si="8"/>
        <v/>
      </c>
      <c r="I151" s="12"/>
      <c r="J151" s="13" t="str">
        <f t="shared" si="9"/>
        <v/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x14ac:dyDescent="0.3">
      <c r="A152" s="12"/>
      <c r="B152" s="13" t="str">
        <f>IF(A152="","",IFERROR(INDEX(Sessions!$R$2:$R$16,MATCH(A152,Sessions!$A$2:$A$16,0)),"?"))</f>
        <v/>
      </c>
      <c r="C152" s="12"/>
      <c r="D152" s="13" t="str">
        <f>IF(C152="","",IFERROR(INDEX(Tasks!$B$2:$B$7,MATCH(C152,Tasks!$A$2:$A$7,0)),"?"))</f>
        <v/>
      </c>
      <c r="E152" s="12"/>
      <c r="F152" s="14"/>
      <c r="G152" s="14"/>
      <c r="H152" s="13" t="str">
        <f t="shared" si="8"/>
        <v/>
      </c>
      <c r="I152" s="12"/>
      <c r="J152" s="13" t="str">
        <f t="shared" si="9"/>
        <v/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spans="1:21" x14ac:dyDescent="0.3">
      <c r="A153" s="12"/>
      <c r="B153" s="13" t="str">
        <f>IF(A153="","",IFERROR(INDEX(Sessions!$R$2:$R$16,MATCH(A153,Sessions!$A$2:$A$16,0)),"?"))</f>
        <v/>
      </c>
      <c r="C153" s="12"/>
      <c r="D153" s="13" t="str">
        <f>IF(C153="","",IFERROR(INDEX(Tasks!$B$2:$B$7,MATCH(C153,Tasks!$A$2:$A$7,0)),"?"))</f>
        <v/>
      </c>
      <c r="E153" s="12"/>
      <c r="F153" s="14"/>
      <c r="G153" s="14"/>
      <c r="H153" s="13" t="str">
        <f t="shared" si="8"/>
        <v/>
      </c>
      <c r="I153" s="12"/>
      <c r="J153" s="13" t="str">
        <f t="shared" si="9"/>
        <v/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spans="1:21" x14ac:dyDescent="0.3">
      <c r="A154" s="12"/>
      <c r="B154" s="13" t="str">
        <f>IF(A154="","",IFERROR(INDEX(Sessions!$R$2:$R$16,MATCH(A154,Sessions!$A$2:$A$16,0)),"?"))</f>
        <v/>
      </c>
      <c r="C154" s="12"/>
      <c r="D154" s="13" t="str">
        <f>IF(C154="","",IFERROR(INDEX(Tasks!$B$2:$B$7,MATCH(C154,Tasks!$A$2:$A$7,0)),"?"))</f>
        <v/>
      </c>
      <c r="E154" s="12"/>
      <c r="F154" s="14"/>
      <c r="G154" s="14"/>
      <c r="H154" s="13" t="str">
        <f t="shared" si="8"/>
        <v/>
      </c>
      <c r="I154" s="12"/>
      <c r="J154" s="13" t="str">
        <f t="shared" si="9"/>
        <v/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x14ac:dyDescent="0.3">
      <c r="A155" s="12"/>
      <c r="B155" s="13" t="str">
        <f>IF(A155="","",IFERROR(INDEX(Sessions!$R$2:$R$16,MATCH(A155,Sessions!$A$2:$A$16,0)),"?"))</f>
        <v/>
      </c>
      <c r="C155" s="12"/>
      <c r="D155" s="13" t="str">
        <f>IF(C155="","",IFERROR(INDEX(Tasks!$B$2:$B$7,MATCH(C155,Tasks!$A$2:$A$7,0)),"?"))</f>
        <v/>
      </c>
      <c r="E155" s="12"/>
      <c r="F155" s="14"/>
      <c r="G155" s="14"/>
      <c r="H155" s="13" t="str">
        <f t="shared" si="8"/>
        <v/>
      </c>
      <c r="I155" s="12"/>
      <c r="J155" s="13" t="str">
        <f t="shared" si="9"/>
        <v/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spans="1:21" x14ac:dyDescent="0.3">
      <c r="A156" s="12"/>
      <c r="B156" s="13" t="str">
        <f>IF(A156="","",IFERROR(INDEX(Sessions!$R$2:$R$16,MATCH(A156,Sessions!$A$2:$A$16,0)),"?"))</f>
        <v/>
      </c>
      <c r="C156" s="12"/>
      <c r="D156" s="13" t="str">
        <f>IF(C156="","",IFERROR(INDEX(Tasks!$B$2:$B$7,MATCH(C156,Tasks!$A$2:$A$7,0)),"?"))</f>
        <v/>
      </c>
      <c r="E156" s="12"/>
      <c r="F156" s="14"/>
      <c r="G156" s="14"/>
      <c r="H156" s="13" t="str">
        <f t="shared" si="8"/>
        <v/>
      </c>
      <c r="I156" s="12"/>
      <c r="J156" s="13" t="str">
        <f t="shared" si="9"/>
        <v/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spans="1:21" x14ac:dyDescent="0.3">
      <c r="A157" s="12"/>
      <c r="B157" s="13" t="str">
        <f>IF(A157="","",IFERROR(INDEX(Sessions!$R$2:$R$16,MATCH(A157,Sessions!$A$2:$A$16,0)),"?"))</f>
        <v/>
      </c>
      <c r="C157" s="12"/>
      <c r="D157" s="13" t="str">
        <f>IF(C157="","",IFERROR(INDEX(Tasks!$B$2:$B$7,MATCH(C157,Tasks!$A$2:$A$7,0)),"?"))</f>
        <v/>
      </c>
      <c r="E157" s="12"/>
      <c r="F157" s="14"/>
      <c r="G157" s="14"/>
      <c r="H157" s="13" t="str">
        <f t="shared" si="8"/>
        <v/>
      </c>
      <c r="I157" s="12"/>
      <c r="J157" s="13" t="str">
        <f t="shared" si="9"/>
        <v/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spans="1:21" x14ac:dyDescent="0.3">
      <c r="A158" s="12"/>
      <c r="B158" s="13" t="str">
        <f>IF(A158="","",IFERROR(INDEX(Sessions!$R$2:$R$16,MATCH(A158,Sessions!$A$2:$A$16,0)),"?"))</f>
        <v/>
      </c>
      <c r="C158" s="12"/>
      <c r="D158" s="13" t="str">
        <f>IF(C158="","",IFERROR(INDEX(Tasks!$B$2:$B$7,MATCH(C158,Tasks!$A$2:$A$7,0)),"?"))</f>
        <v/>
      </c>
      <c r="E158" s="12"/>
      <c r="F158" s="14"/>
      <c r="G158" s="14"/>
      <c r="H158" s="13" t="str">
        <f t="shared" si="8"/>
        <v/>
      </c>
      <c r="I158" s="12"/>
      <c r="J158" s="13" t="str">
        <f t="shared" si="9"/>
        <v/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spans="1:21" x14ac:dyDescent="0.3">
      <c r="A159" s="12"/>
      <c r="B159" s="13" t="str">
        <f>IF(A159="","",IFERROR(INDEX(Sessions!$R$2:$R$16,MATCH(A159,Sessions!$A$2:$A$16,0)),"?"))</f>
        <v/>
      </c>
      <c r="C159" s="12"/>
      <c r="D159" s="13" t="str">
        <f>IF(C159="","",IFERROR(INDEX(Tasks!$B$2:$B$7,MATCH(C159,Tasks!$A$2:$A$7,0)),"?"))</f>
        <v/>
      </c>
      <c r="E159" s="12"/>
      <c r="F159" s="14"/>
      <c r="G159" s="14"/>
      <c r="H159" s="13" t="str">
        <f t="shared" si="8"/>
        <v/>
      </c>
      <c r="I159" s="12"/>
      <c r="J159" s="13" t="str">
        <f t="shared" si="9"/>
        <v/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x14ac:dyDescent="0.3">
      <c r="A160" s="12"/>
      <c r="B160" s="13" t="str">
        <f>IF(A160="","",IFERROR(INDEX(Sessions!$R$2:$R$16,MATCH(A160,Sessions!$A$2:$A$16,0)),"?"))</f>
        <v/>
      </c>
      <c r="C160" s="12"/>
      <c r="D160" s="13" t="str">
        <f>IF(C160="","",IFERROR(INDEX(Tasks!$B$2:$B$7,MATCH(C160,Tasks!$A$2:$A$7,0)),"?"))</f>
        <v/>
      </c>
      <c r="E160" s="12"/>
      <c r="F160" s="14"/>
      <c r="G160" s="14"/>
      <c r="H160" s="13" t="str">
        <f t="shared" si="8"/>
        <v/>
      </c>
      <c r="I160" s="12"/>
      <c r="J160" s="13" t="str">
        <f t="shared" si="9"/>
        <v/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spans="1:21" x14ac:dyDescent="0.3">
      <c r="A161" s="12"/>
      <c r="B161" s="13" t="str">
        <f>IF(A161="","",IFERROR(INDEX(Sessions!$R$2:$R$16,MATCH(A161,Sessions!$A$2:$A$16,0)),"?"))</f>
        <v/>
      </c>
      <c r="C161" s="12"/>
      <c r="D161" s="13" t="str">
        <f>IF(C161="","",IFERROR(INDEX(Tasks!$B$2:$B$7,MATCH(C161,Tasks!$A$2:$A$7,0)),"?"))</f>
        <v/>
      </c>
      <c r="E161" s="12"/>
      <c r="F161" s="14"/>
      <c r="G161" s="14"/>
      <c r="H161" s="13" t="str">
        <f t="shared" si="8"/>
        <v/>
      </c>
      <c r="I161" s="12"/>
      <c r="J161" s="13" t="str">
        <f t="shared" si="9"/>
        <v/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spans="1:21" x14ac:dyDescent="0.3">
      <c r="A162" s="12"/>
      <c r="B162" s="13" t="str">
        <f>IF(A162="","",IFERROR(INDEX(Sessions!$R$2:$R$16,MATCH(A162,Sessions!$A$2:$A$16,0)),"?"))</f>
        <v/>
      </c>
      <c r="C162" s="12"/>
      <c r="D162" s="13" t="str">
        <f>IF(C162="","",IFERROR(INDEX(Tasks!$B$2:$B$7,MATCH(C162,Tasks!$A$2:$A$7,0)),"?"))</f>
        <v/>
      </c>
      <c r="E162" s="12"/>
      <c r="F162" s="14"/>
      <c r="G162" s="14"/>
      <c r="H162" s="13" t="str">
        <f t="shared" ref="H162:H193" si="10">IF(AND(ISNUMBER(F162),ISNUMBER(G162)),ROUND((G162-F162)*86400,0),"")</f>
        <v/>
      </c>
      <c r="I162" s="12"/>
      <c r="J162" s="13" t="str">
        <f t="shared" ref="J162:J193" si="11">IF(ISNUMBER(I162),I162,IF(ISNUMBER(H162),H162,""))</f>
        <v/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x14ac:dyDescent="0.3">
      <c r="A163" s="12"/>
      <c r="B163" s="13" t="str">
        <f>IF(A163="","",IFERROR(INDEX(Sessions!$R$2:$R$16,MATCH(A163,Sessions!$A$2:$A$16,0)),"?"))</f>
        <v/>
      </c>
      <c r="C163" s="12"/>
      <c r="D163" s="13" t="str">
        <f>IF(C163="","",IFERROR(INDEX(Tasks!$B$2:$B$7,MATCH(C163,Tasks!$A$2:$A$7,0)),"?"))</f>
        <v/>
      </c>
      <c r="E163" s="12"/>
      <c r="F163" s="14"/>
      <c r="G163" s="14"/>
      <c r="H163" s="13" t="str">
        <f t="shared" si="10"/>
        <v/>
      </c>
      <c r="I163" s="12"/>
      <c r="J163" s="13" t="str">
        <f t="shared" si="11"/>
        <v/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spans="1:21" x14ac:dyDescent="0.3">
      <c r="A164" s="12"/>
      <c r="B164" s="13" t="str">
        <f>IF(A164="","",IFERROR(INDEX(Sessions!$R$2:$R$16,MATCH(A164,Sessions!$A$2:$A$16,0)),"?"))</f>
        <v/>
      </c>
      <c r="C164" s="12"/>
      <c r="D164" s="13" t="str">
        <f>IF(C164="","",IFERROR(INDEX(Tasks!$B$2:$B$7,MATCH(C164,Tasks!$A$2:$A$7,0)),"?"))</f>
        <v/>
      </c>
      <c r="E164" s="12"/>
      <c r="F164" s="14"/>
      <c r="G164" s="14"/>
      <c r="H164" s="13" t="str">
        <f t="shared" si="10"/>
        <v/>
      </c>
      <c r="I164" s="12"/>
      <c r="J164" s="13" t="str">
        <f t="shared" si="11"/>
        <v/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spans="1:21" x14ac:dyDescent="0.3">
      <c r="A165" s="12"/>
      <c r="B165" s="13" t="str">
        <f>IF(A165="","",IFERROR(INDEX(Sessions!$R$2:$R$16,MATCH(A165,Sessions!$A$2:$A$16,0)),"?"))</f>
        <v/>
      </c>
      <c r="C165" s="12"/>
      <c r="D165" s="13" t="str">
        <f>IF(C165="","",IFERROR(INDEX(Tasks!$B$2:$B$7,MATCH(C165,Tasks!$A$2:$A$7,0)),"?"))</f>
        <v/>
      </c>
      <c r="E165" s="12"/>
      <c r="F165" s="14"/>
      <c r="G165" s="14"/>
      <c r="H165" s="13" t="str">
        <f t="shared" si="10"/>
        <v/>
      </c>
      <c r="I165" s="12"/>
      <c r="J165" s="13" t="str">
        <f t="shared" si="11"/>
        <v/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spans="1:21" x14ac:dyDescent="0.3">
      <c r="A166" s="12"/>
      <c r="B166" s="13" t="str">
        <f>IF(A166="","",IFERROR(INDEX(Sessions!$R$2:$R$16,MATCH(A166,Sessions!$A$2:$A$16,0)),"?"))</f>
        <v/>
      </c>
      <c r="C166" s="12"/>
      <c r="D166" s="13" t="str">
        <f>IF(C166="","",IFERROR(INDEX(Tasks!$B$2:$B$7,MATCH(C166,Tasks!$A$2:$A$7,0)),"?"))</f>
        <v/>
      </c>
      <c r="E166" s="12"/>
      <c r="F166" s="14"/>
      <c r="G166" s="14"/>
      <c r="H166" s="13" t="str">
        <f t="shared" si="10"/>
        <v/>
      </c>
      <c r="I166" s="12"/>
      <c r="J166" s="13" t="str">
        <f t="shared" si="11"/>
        <v/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spans="1:21" x14ac:dyDescent="0.3">
      <c r="A167" s="12"/>
      <c r="B167" s="13" t="str">
        <f>IF(A167="","",IFERROR(INDEX(Sessions!$R$2:$R$16,MATCH(A167,Sessions!$A$2:$A$16,0)),"?"))</f>
        <v/>
      </c>
      <c r="C167" s="12"/>
      <c r="D167" s="13" t="str">
        <f>IF(C167="","",IFERROR(INDEX(Tasks!$B$2:$B$7,MATCH(C167,Tasks!$A$2:$A$7,0)),"?"))</f>
        <v/>
      </c>
      <c r="E167" s="12"/>
      <c r="F167" s="14"/>
      <c r="G167" s="14"/>
      <c r="H167" s="13" t="str">
        <f t="shared" si="10"/>
        <v/>
      </c>
      <c r="I167" s="12"/>
      <c r="J167" s="13" t="str">
        <f t="shared" si="11"/>
        <v/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spans="1:21" x14ac:dyDescent="0.3">
      <c r="A168" s="12"/>
      <c r="B168" s="13" t="str">
        <f>IF(A168="","",IFERROR(INDEX(Sessions!$R$2:$R$16,MATCH(A168,Sessions!$A$2:$A$16,0)),"?"))</f>
        <v/>
      </c>
      <c r="C168" s="12"/>
      <c r="D168" s="13" t="str">
        <f>IF(C168="","",IFERROR(INDEX(Tasks!$B$2:$B$7,MATCH(C168,Tasks!$A$2:$A$7,0)),"?"))</f>
        <v/>
      </c>
      <c r="E168" s="12"/>
      <c r="F168" s="14"/>
      <c r="G168" s="14"/>
      <c r="H168" s="13" t="str">
        <f t="shared" si="10"/>
        <v/>
      </c>
      <c r="I168" s="12"/>
      <c r="J168" s="13" t="str">
        <f t="shared" si="11"/>
        <v/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spans="1:21" x14ac:dyDescent="0.3">
      <c r="A169" s="12"/>
      <c r="B169" s="13" t="str">
        <f>IF(A169="","",IFERROR(INDEX(Sessions!$R$2:$R$16,MATCH(A169,Sessions!$A$2:$A$16,0)),"?"))</f>
        <v/>
      </c>
      <c r="C169" s="12"/>
      <c r="D169" s="13" t="str">
        <f>IF(C169="","",IFERROR(INDEX(Tasks!$B$2:$B$7,MATCH(C169,Tasks!$A$2:$A$7,0)),"?"))</f>
        <v/>
      </c>
      <c r="E169" s="12"/>
      <c r="F169" s="14"/>
      <c r="G169" s="14"/>
      <c r="H169" s="13" t="str">
        <f t="shared" si="10"/>
        <v/>
      </c>
      <c r="I169" s="12"/>
      <c r="J169" s="13" t="str">
        <f t="shared" si="11"/>
        <v/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spans="1:21" x14ac:dyDescent="0.3">
      <c r="A170" s="12"/>
      <c r="B170" s="13" t="str">
        <f>IF(A170="","",IFERROR(INDEX(Sessions!$R$2:$R$16,MATCH(A170,Sessions!$A$2:$A$16,0)),"?"))</f>
        <v/>
      </c>
      <c r="C170" s="12"/>
      <c r="D170" s="13" t="str">
        <f>IF(C170="","",IFERROR(INDEX(Tasks!$B$2:$B$7,MATCH(C170,Tasks!$A$2:$A$7,0)),"?"))</f>
        <v/>
      </c>
      <c r="E170" s="12"/>
      <c r="F170" s="14"/>
      <c r="G170" s="14"/>
      <c r="H170" s="13" t="str">
        <f t="shared" si="10"/>
        <v/>
      </c>
      <c r="I170" s="12"/>
      <c r="J170" s="13" t="str">
        <f t="shared" si="11"/>
        <v/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x14ac:dyDescent="0.3">
      <c r="A171" s="12"/>
      <c r="B171" s="13" t="str">
        <f>IF(A171="","",IFERROR(INDEX(Sessions!$R$2:$R$16,MATCH(A171,Sessions!$A$2:$A$16,0)),"?"))</f>
        <v/>
      </c>
      <c r="C171" s="12"/>
      <c r="D171" s="13" t="str">
        <f>IF(C171="","",IFERROR(INDEX(Tasks!$B$2:$B$7,MATCH(C171,Tasks!$A$2:$A$7,0)),"?"))</f>
        <v/>
      </c>
      <c r="E171" s="12"/>
      <c r="F171" s="14"/>
      <c r="G171" s="14"/>
      <c r="H171" s="13" t="str">
        <f t="shared" si="10"/>
        <v/>
      </c>
      <c r="I171" s="12"/>
      <c r="J171" s="13" t="str">
        <f t="shared" si="11"/>
        <v/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spans="1:21" x14ac:dyDescent="0.3">
      <c r="A172" s="12"/>
      <c r="B172" s="13" t="str">
        <f>IF(A172="","",IFERROR(INDEX(Sessions!$R$2:$R$16,MATCH(A172,Sessions!$A$2:$A$16,0)),"?"))</f>
        <v/>
      </c>
      <c r="C172" s="12"/>
      <c r="D172" s="13" t="str">
        <f>IF(C172="","",IFERROR(INDEX(Tasks!$B$2:$B$7,MATCH(C172,Tasks!$A$2:$A$7,0)),"?"))</f>
        <v/>
      </c>
      <c r="E172" s="12"/>
      <c r="F172" s="14"/>
      <c r="G172" s="14"/>
      <c r="H172" s="13" t="str">
        <f t="shared" si="10"/>
        <v/>
      </c>
      <c r="I172" s="12"/>
      <c r="J172" s="13" t="str">
        <f t="shared" si="11"/>
        <v/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spans="1:21" x14ac:dyDescent="0.3">
      <c r="A173" s="12"/>
      <c r="B173" s="13" t="str">
        <f>IF(A173="","",IFERROR(INDEX(Sessions!$R$2:$R$16,MATCH(A173,Sessions!$A$2:$A$16,0)),"?"))</f>
        <v/>
      </c>
      <c r="C173" s="12"/>
      <c r="D173" s="13" t="str">
        <f>IF(C173="","",IFERROR(INDEX(Tasks!$B$2:$B$7,MATCH(C173,Tasks!$A$2:$A$7,0)),"?"))</f>
        <v/>
      </c>
      <c r="E173" s="12"/>
      <c r="F173" s="14"/>
      <c r="G173" s="14"/>
      <c r="H173" s="13" t="str">
        <f t="shared" si="10"/>
        <v/>
      </c>
      <c r="I173" s="12"/>
      <c r="J173" s="13" t="str">
        <f t="shared" si="11"/>
        <v/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spans="1:21" x14ac:dyDescent="0.3">
      <c r="A174" s="12"/>
      <c r="B174" s="13" t="str">
        <f>IF(A174="","",IFERROR(INDEX(Sessions!$R$2:$R$16,MATCH(A174,Sessions!$A$2:$A$16,0)),"?"))</f>
        <v/>
      </c>
      <c r="C174" s="12"/>
      <c r="D174" s="13" t="str">
        <f>IF(C174="","",IFERROR(INDEX(Tasks!$B$2:$B$7,MATCH(C174,Tasks!$A$2:$A$7,0)),"?"))</f>
        <v/>
      </c>
      <c r="E174" s="12"/>
      <c r="F174" s="14"/>
      <c r="G174" s="14"/>
      <c r="H174" s="13" t="str">
        <f t="shared" si="10"/>
        <v/>
      </c>
      <c r="I174" s="12"/>
      <c r="J174" s="13" t="str">
        <f t="shared" si="11"/>
        <v/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spans="1:21" x14ac:dyDescent="0.3">
      <c r="A175" s="12"/>
      <c r="B175" s="13" t="str">
        <f>IF(A175="","",IFERROR(INDEX(Sessions!$R$2:$R$16,MATCH(A175,Sessions!$A$2:$A$16,0)),"?"))</f>
        <v/>
      </c>
      <c r="C175" s="12"/>
      <c r="D175" s="13" t="str">
        <f>IF(C175="","",IFERROR(INDEX(Tasks!$B$2:$B$7,MATCH(C175,Tasks!$A$2:$A$7,0)),"?"))</f>
        <v/>
      </c>
      <c r="E175" s="12"/>
      <c r="F175" s="14"/>
      <c r="G175" s="14"/>
      <c r="H175" s="13" t="str">
        <f t="shared" si="10"/>
        <v/>
      </c>
      <c r="I175" s="12"/>
      <c r="J175" s="13" t="str">
        <f t="shared" si="11"/>
        <v/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spans="1:21" x14ac:dyDescent="0.3">
      <c r="A176" s="12"/>
      <c r="B176" s="13" t="str">
        <f>IF(A176="","",IFERROR(INDEX(Sessions!$R$2:$R$16,MATCH(A176,Sessions!$A$2:$A$16,0)),"?"))</f>
        <v/>
      </c>
      <c r="C176" s="12"/>
      <c r="D176" s="13" t="str">
        <f>IF(C176="","",IFERROR(INDEX(Tasks!$B$2:$B$7,MATCH(C176,Tasks!$A$2:$A$7,0)),"?"))</f>
        <v/>
      </c>
      <c r="E176" s="12"/>
      <c r="F176" s="14"/>
      <c r="G176" s="14"/>
      <c r="H176" s="13" t="str">
        <f t="shared" si="10"/>
        <v/>
      </c>
      <c r="I176" s="12"/>
      <c r="J176" s="13" t="str">
        <f t="shared" si="11"/>
        <v/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spans="1:21" x14ac:dyDescent="0.3">
      <c r="A177" s="12"/>
      <c r="B177" s="13" t="str">
        <f>IF(A177="","",IFERROR(INDEX(Sessions!$R$2:$R$16,MATCH(A177,Sessions!$A$2:$A$16,0)),"?"))</f>
        <v/>
      </c>
      <c r="C177" s="12"/>
      <c r="D177" s="13" t="str">
        <f>IF(C177="","",IFERROR(INDEX(Tasks!$B$2:$B$7,MATCH(C177,Tasks!$A$2:$A$7,0)),"?"))</f>
        <v/>
      </c>
      <c r="E177" s="12"/>
      <c r="F177" s="14"/>
      <c r="G177" s="14"/>
      <c r="H177" s="13" t="str">
        <f t="shared" si="10"/>
        <v/>
      </c>
      <c r="I177" s="12"/>
      <c r="J177" s="13" t="str">
        <f t="shared" si="11"/>
        <v/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spans="1:21" x14ac:dyDescent="0.3">
      <c r="A178" s="12"/>
      <c r="B178" s="13" t="str">
        <f>IF(A178="","",IFERROR(INDEX(Sessions!$R$2:$R$16,MATCH(A178,Sessions!$A$2:$A$16,0)),"?"))</f>
        <v/>
      </c>
      <c r="C178" s="12"/>
      <c r="D178" s="13" t="str">
        <f>IF(C178="","",IFERROR(INDEX(Tasks!$B$2:$B$7,MATCH(C178,Tasks!$A$2:$A$7,0)),"?"))</f>
        <v/>
      </c>
      <c r="E178" s="12"/>
      <c r="F178" s="14"/>
      <c r="G178" s="14"/>
      <c r="H178" s="13" t="str">
        <f t="shared" si="10"/>
        <v/>
      </c>
      <c r="I178" s="12"/>
      <c r="J178" s="13" t="str">
        <f t="shared" si="11"/>
        <v/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spans="1:21" x14ac:dyDescent="0.3">
      <c r="A179" s="12"/>
      <c r="B179" s="13" t="str">
        <f>IF(A179="","",IFERROR(INDEX(Sessions!$R$2:$R$16,MATCH(A179,Sessions!$A$2:$A$16,0)),"?"))</f>
        <v/>
      </c>
      <c r="C179" s="12"/>
      <c r="D179" s="13" t="str">
        <f>IF(C179="","",IFERROR(INDEX(Tasks!$B$2:$B$7,MATCH(C179,Tasks!$A$2:$A$7,0)),"?"))</f>
        <v/>
      </c>
      <c r="E179" s="12"/>
      <c r="F179" s="14"/>
      <c r="G179" s="14"/>
      <c r="H179" s="13" t="str">
        <f t="shared" si="10"/>
        <v/>
      </c>
      <c r="I179" s="12"/>
      <c r="J179" s="13" t="str">
        <f t="shared" si="11"/>
        <v/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x14ac:dyDescent="0.3">
      <c r="A180" s="12"/>
      <c r="B180" s="13" t="str">
        <f>IF(A180="","",IFERROR(INDEX(Sessions!$R$2:$R$16,MATCH(A180,Sessions!$A$2:$A$16,0)),"?"))</f>
        <v/>
      </c>
      <c r="C180" s="12"/>
      <c r="D180" s="13" t="str">
        <f>IF(C180="","",IFERROR(INDEX(Tasks!$B$2:$B$7,MATCH(C180,Tasks!$A$2:$A$7,0)),"?"))</f>
        <v/>
      </c>
      <c r="E180" s="12"/>
      <c r="F180" s="14"/>
      <c r="G180" s="14"/>
      <c r="H180" s="13" t="str">
        <f t="shared" si="10"/>
        <v/>
      </c>
      <c r="I180" s="12"/>
      <c r="J180" s="13" t="str">
        <f t="shared" si="11"/>
        <v/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spans="1:21" x14ac:dyDescent="0.3">
      <c r="A181" s="12"/>
      <c r="B181" s="13" t="str">
        <f>IF(A181="","",IFERROR(INDEX(Sessions!$R$2:$R$16,MATCH(A181,Sessions!$A$2:$A$16,0)),"?"))</f>
        <v/>
      </c>
      <c r="C181" s="12"/>
      <c r="D181" s="13" t="str">
        <f>IF(C181="","",IFERROR(INDEX(Tasks!$B$2:$B$7,MATCH(C181,Tasks!$A$2:$A$7,0)),"?"))</f>
        <v/>
      </c>
      <c r="E181" s="12"/>
      <c r="F181" s="14"/>
      <c r="G181" s="14"/>
      <c r="H181" s="13" t="str">
        <f t="shared" si="10"/>
        <v/>
      </c>
      <c r="I181" s="12"/>
      <c r="J181" s="13" t="str">
        <f t="shared" si="11"/>
        <v/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spans="1:21" x14ac:dyDescent="0.3">
      <c r="A182" s="12"/>
      <c r="B182" s="13" t="str">
        <f>IF(A182="","",IFERROR(INDEX(Sessions!$R$2:$R$16,MATCH(A182,Sessions!$A$2:$A$16,0)),"?"))</f>
        <v/>
      </c>
      <c r="C182" s="12"/>
      <c r="D182" s="13" t="str">
        <f>IF(C182="","",IFERROR(INDEX(Tasks!$B$2:$B$7,MATCH(C182,Tasks!$A$2:$A$7,0)),"?"))</f>
        <v/>
      </c>
      <c r="E182" s="12"/>
      <c r="F182" s="14"/>
      <c r="G182" s="14"/>
      <c r="H182" s="13" t="str">
        <f t="shared" si="10"/>
        <v/>
      </c>
      <c r="I182" s="12"/>
      <c r="J182" s="13" t="str">
        <f t="shared" si="11"/>
        <v/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spans="1:21" x14ac:dyDescent="0.3">
      <c r="A183" s="12"/>
      <c r="B183" s="13" t="str">
        <f>IF(A183="","",IFERROR(INDEX(Sessions!$R$2:$R$16,MATCH(A183,Sessions!$A$2:$A$16,0)),"?"))</f>
        <v/>
      </c>
      <c r="C183" s="12"/>
      <c r="D183" s="13" t="str">
        <f>IF(C183="","",IFERROR(INDEX(Tasks!$B$2:$B$7,MATCH(C183,Tasks!$A$2:$A$7,0)),"?"))</f>
        <v/>
      </c>
      <c r="E183" s="12"/>
      <c r="F183" s="14"/>
      <c r="G183" s="14"/>
      <c r="H183" s="13" t="str">
        <f t="shared" si="10"/>
        <v/>
      </c>
      <c r="I183" s="12"/>
      <c r="J183" s="13" t="str">
        <f t="shared" si="11"/>
        <v/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x14ac:dyDescent="0.3">
      <c r="A184" s="12"/>
      <c r="B184" s="13" t="str">
        <f>IF(A184="","",IFERROR(INDEX(Sessions!$R$2:$R$16,MATCH(A184,Sessions!$A$2:$A$16,0)),"?"))</f>
        <v/>
      </c>
      <c r="C184" s="12"/>
      <c r="D184" s="13" t="str">
        <f>IF(C184="","",IFERROR(INDEX(Tasks!$B$2:$B$7,MATCH(C184,Tasks!$A$2:$A$7,0)),"?"))</f>
        <v/>
      </c>
      <c r="E184" s="12"/>
      <c r="F184" s="14"/>
      <c r="G184" s="14"/>
      <c r="H184" s="13" t="str">
        <f t="shared" si="10"/>
        <v/>
      </c>
      <c r="I184" s="12"/>
      <c r="J184" s="13" t="str">
        <f t="shared" si="11"/>
        <v/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spans="1:21" x14ac:dyDescent="0.3">
      <c r="A185" s="12"/>
      <c r="B185" s="13" t="str">
        <f>IF(A185="","",IFERROR(INDEX(Sessions!$R$2:$R$16,MATCH(A185,Sessions!$A$2:$A$16,0)),"?"))</f>
        <v/>
      </c>
      <c r="C185" s="12"/>
      <c r="D185" s="13" t="str">
        <f>IF(C185="","",IFERROR(INDEX(Tasks!$B$2:$B$7,MATCH(C185,Tasks!$A$2:$A$7,0)),"?"))</f>
        <v/>
      </c>
      <c r="E185" s="12"/>
      <c r="F185" s="14"/>
      <c r="G185" s="14"/>
      <c r="H185" s="13" t="str">
        <f t="shared" si="10"/>
        <v/>
      </c>
      <c r="I185" s="12"/>
      <c r="J185" s="13" t="str">
        <f t="shared" si="11"/>
        <v/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spans="1:21" x14ac:dyDescent="0.3">
      <c r="A186" s="12"/>
      <c r="B186" s="13" t="str">
        <f>IF(A186="","",IFERROR(INDEX(Sessions!$R$2:$R$16,MATCH(A186,Sessions!$A$2:$A$16,0)),"?"))</f>
        <v/>
      </c>
      <c r="C186" s="12"/>
      <c r="D186" s="13" t="str">
        <f>IF(C186="","",IFERROR(INDEX(Tasks!$B$2:$B$7,MATCH(C186,Tasks!$A$2:$A$7,0)),"?"))</f>
        <v/>
      </c>
      <c r="E186" s="12"/>
      <c r="F186" s="14"/>
      <c r="G186" s="14"/>
      <c r="H186" s="13" t="str">
        <f t="shared" si="10"/>
        <v/>
      </c>
      <c r="I186" s="12"/>
      <c r="J186" s="13" t="str">
        <f t="shared" si="11"/>
        <v/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spans="1:21" x14ac:dyDescent="0.3">
      <c r="A187" s="12"/>
      <c r="B187" s="13" t="str">
        <f>IF(A187="","",IFERROR(INDEX(Sessions!$R$2:$R$16,MATCH(A187,Sessions!$A$2:$A$16,0)),"?"))</f>
        <v/>
      </c>
      <c r="C187" s="12"/>
      <c r="D187" s="13" t="str">
        <f>IF(C187="","",IFERROR(INDEX(Tasks!$B$2:$B$7,MATCH(C187,Tasks!$A$2:$A$7,0)),"?"))</f>
        <v/>
      </c>
      <c r="E187" s="12"/>
      <c r="F187" s="14"/>
      <c r="G187" s="14"/>
      <c r="H187" s="13" t="str">
        <f t="shared" si="10"/>
        <v/>
      </c>
      <c r="I187" s="12"/>
      <c r="J187" s="13" t="str">
        <f t="shared" si="11"/>
        <v/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spans="1:21" x14ac:dyDescent="0.3">
      <c r="A188" s="12"/>
      <c r="B188" s="13" t="str">
        <f>IF(A188="","",IFERROR(INDEX(Sessions!$R$2:$R$16,MATCH(A188,Sessions!$A$2:$A$16,0)),"?"))</f>
        <v/>
      </c>
      <c r="C188" s="12"/>
      <c r="D188" s="13" t="str">
        <f>IF(C188="","",IFERROR(INDEX(Tasks!$B$2:$B$7,MATCH(C188,Tasks!$A$2:$A$7,0)),"?"))</f>
        <v/>
      </c>
      <c r="E188" s="12"/>
      <c r="F188" s="14"/>
      <c r="G188" s="14"/>
      <c r="H188" s="13" t="str">
        <f t="shared" si="10"/>
        <v/>
      </c>
      <c r="I188" s="12"/>
      <c r="J188" s="13" t="str">
        <f t="shared" si="11"/>
        <v/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spans="1:21" x14ac:dyDescent="0.3">
      <c r="A189" s="12"/>
      <c r="B189" s="13" t="str">
        <f>IF(A189="","",IFERROR(INDEX(Sessions!$R$2:$R$16,MATCH(A189,Sessions!$A$2:$A$16,0)),"?"))</f>
        <v/>
      </c>
      <c r="C189" s="12"/>
      <c r="D189" s="13" t="str">
        <f>IF(C189="","",IFERROR(INDEX(Tasks!$B$2:$B$7,MATCH(C189,Tasks!$A$2:$A$7,0)),"?"))</f>
        <v/>
      </c>
      <c r="E189" s="12"/>
      <c r="F189" s="14"/>
      <c r="G189" s="14"/>
      <c r="H189" s="13" t="str">
        <f t="shared" si="10"/>
        <v/>
      </c>
      <c r="I189" s="12"/>
      <c r="J189" s="13" t="str">
        <f t="shared" si="11"/>
        <v/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spans="1:21" x14ac:dyDescent="0.3">
      <c r="A190" s="12"/>
      <c r="B190" s="13" t="str">
        <f>IF(A190="","",IFERROR(INDEX(Sessions!$R$2:$R$16,MATCH(A190,Sessions!$A$2:$A$16,0)),"?"))</f>
        <v/>
      </c>
      <c r="C190" s="12"/>
      <c r="D190" s="13" t="str">
        <f>IF(C190="","",IFERROR(INDEX(Tasks!$B$2:$B$7,MATCH(C190,Tasks!$A$2:$A$7,0)),"?"))</f>
        <v/>
      </c>
      <c r="E190" s="12"/>
      <c r="F190" s="14"/>
      <c r="G190" s="14"/>
      <c r="H190" s="13" t="str">
        <f t="shared" si="10"/>
        <v/>
      </c>
      <c r="I190" s="12"/>
      <c r="J190" s="13" t="str">
        <f t="shared" si="11"/>
        <v/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spans="1:21" x14ac:dyDescent="0.3">
      <c r="A191" s="12"/>
      <c r="B191" s="13" t="str">
        <f>IF(A191="","",IFERROR(INDEX(Sessions!$R$2:$R$16,MATCH(A191,Sessions!$A$2:$A$16,0)),"?"))</f>
        <v/>
      </c>
      <c r="C191" s="12"/>
      <c r="D191" s="13" t="str">
        <f>IF(C191="","",IFERROR(INDEX(Tasks!$B$2:$B$7,MATCH(C191,Tasks!$A$2:$A$7,0)),"?"))</f>
        <v/>
      </c>
      <c r="E191" s="12"/>
      <c r="F191" s="14"/>
      <c r="G191" s="14"/>
      <c r="H191" s="13" t="str">
        <f t="shared" si="10"/>
        <v/>
      </c>
      <c r="I191" s="12"/>
      <c r="J191" s="13" t="str">
        <f t="shared" si="11"/>
        <v/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spans="1:21" x14ac:dyDescent="0.3">
      <c r="A192" s="12"/>
      <c r="B192" s="13" t="str">
        <f>IF(A192="","",IFERROR(INDEX(Sessions!$R$2:$R$16,MATCH(A192,Sessions!$A$2:$A$16,0)),"?"))</f>
        <v/>
      </c>
      <c r="C192" s="12"/>
      <c r="D192" s="13" t="str">
        <f>IF(C192="","",IFERROR(INDEX(Tasks!$B$2:$B$7,MATCH(C192,Tasks!$A$2:$A$7,0)),"?"))</f>
        <v/>
      </c>
      <c r="E192" s="12"/>
      <c r="F192" s="14"/>
      <c r="G192" s="14"/>
      <c r="H192" s="13" t="str">
        <f t="shared" si="10"/>
        <v/>
      </c>
      <c r="I192" s="12"/>
      <c r="J192" s="13" t="str">
        <f t="shared" si="11"/>
        <v/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x14ac:dyDescent="0.3">
      <c r="A193" s="12"/>
      <c r="B193" s="13" t="str">
        <f>IF(A193="","",IFERROR(INDEX(Sessions!$R$2:$R$16,MATCH(A193,Sessions!$A$2:$A$16,0)),"?"))</f>
        <v/>
      </c>
      <c r="C193" s="12"/>
      <c r="D193" s="13" t="str">
        <f>IF(C193="","",IFERROR(INDEX(Tasks!$B$2:$B$7,MATCH(C193,Tasks!$A$2:$A$7,0)),"?"))</f>
        <v/>
      </c>
      <c r="E193" s="12"/>
      <c r="F193" s="14"/>
      <c r="G193" s="14"/>
      <c r="H193" s="13" t="str">
        <f t="shared" si="10"/>
        <v/>
      </c>
      <c r="I193" s="12"/>
      <c r="J193" s="13" t="str">
        <f t="shared" si="11"/>
        <v/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spans="1:21" x14ac:dyDescent="0.3">
      <c r="A194" s="12"/>
      <c r="B194" s="13" t="str">
        <f>IF(A194="","",IFERROR(INDEX(Sessions!$R$2:$R$16,MATCH(A194,Sessions!$A$2:$A$16,0)),"?"))</f>
        <v/>
      </c>
      <c r="C194" s="12"/>
      <c r="D194" s="13" t="str">
        <f>IF(C194="","",IFERROR(INDEX(Tasks!$B$2:$B$7,MATCH(C194,Tasks!$A$2:$A$7,0)),"?"))</f>
        <v/>
      </c>
      <c r="E194" s="12"/>
      <c r="F194" s="14"/>
      <c r="G194" s="14"/>
      <c r="H194" s="13" t="str">
        <f t="shared" ref="H194:H225" si="12">IF(AND(ISNUMBER(F194),ISNUMBER(G194)),ROUND((G194-F194)*86400,0),"")</f>
        <v/>
      </c>
      <c r="I194" s="12"/>
      <c r="J194" s="13" t="str">
        <f t="shared" ref="J194:J225" si="13">IF(ISNUMBER(I194),I194,IF(ISNUMBER(H194),H194,""))</f>
        <v/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x14ac:dyDescent="0.3">
      <c r="A195" s="12"/>
      <c r="B195" s="13" t="str">
        <f>IF(A195="","",IFERROR(INDEX(Sessions!$R$2:$R$16,MATCH(A195,Sessions!$A$2:$A$16,0)),"?"))</f>
        <v/>
      </c>
      <c r="C195" s="12"/>
      <c r="D195" s="13" t="str">
        <f>IF(C195="","",IFERROR(INDEX(Tasks!$B$2:$B$7,MATCH(C195,Tasks!$A$2:$A$7,0)),"?"))</f>
        <v/>
      </c>
      <c r="E195" s="12"/>
      <c r="F195" s="14"/>
      <c r="G195" s="14"/>
      <c r="H195" s="13" t="str">
        <f t="shared" si="12"/>
        <v/>
      </c>
      <c r="I195" s="12"/>
      <c r="J195" s="13" t="str">
        <f t="shared" si="13"/>
        <v/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spans="1:21" x14ac:dyDescent="0.3">
      <c r="A196" s="12"/>
      <c r="B196" s="13" t="str">
        <f>IF(A196="","",IFERROR(INDEX(Sessions!$R$2:$R$16,MATCH(A196,Sessions!$A$2:$A$16,0)),"?"))</f>
        <v/>
      </c>
      <c r="C196" s="12"/>
      <c r="D196" s="13" t="str">
        <f>IF(C196="","",IFERROR(INDEX(Tasks!$B$2:$B$7,MATCH(C196,Tasks!$A$2:$A$7,0)),"?"))</f>
        <v/>
      </c>
      <c r="E196" s="12"/>
      <c r="F196" s="14"/>
      <c r="G196" s="14"/>
      <c r="H196" s="13" t="str">
        <f t="shared" si="12"/>
        <v/>
      </c>
      <c r="I196" s="12"/>
      <c r="J196" s="13" t="str">
        <f t="shared" si="13"/>
        <v/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spans="1:21" x14ac:dyDescent="0.3">
      <c r="A197" s="12"/>
      <c r="B197" s="13" t="str">
        <f>IF(A197="","",IFERROR(INDEX(Sessions!$R$2:$R$16,MATCH(A197,Sessions!$A$2:$A$16,0)),"?"))</f>
        <v/>
      </c>
      <c r="C197" s="12"/>
      <c r="D197" s="13" t="str">
        <f>IF(C197="","",IFERROR(INDEX(Tasks!$B$2:$B$7,MATCH(C197,Tasks!$A$2:$A$7,0)),"?"))</f>
        <v/>
      </c>
      <c r="E197" s="12"/>
      <c r="F197" s="14"/>
      <c r="G197" s="14"/>
      <c r="H197" s="13" t="str">
        <f t="shared" si="12"/>
        <v/>
      </c>
      <c r="I197" s="12"/>
      <c r="J197" s="13" t="str">
        <f t="shared" si="13"/>
        <v/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spans="1:21" x14ac:dyDescent="0.3">
      <c r="A198" s="12"/>
      <c r="B198" s="13" t="str">
        <f>IF(A198="","",IFERROR(INDEX(Sessions!$R$2:$R$16,MATCH(A198,Sessions!$A$2:$A$16,0)),"?"))</f>
        <v/>
      </c>
      <c r="C198" s="12"/>
      <c r="D198" s="13" t="str">
        <f>IF(C198="","",IFERROR(INDEX(Tasks!$B$2:$B$7,MATCH(C198,Tasks!$A$2:$A$7,0)),"?"))</f>
        <v/>
      </c>
      <c r="E198" s="12"/>
      <c r="F198" s="14"/>
      <c r="G198" s="14"/>
      <c r="H198" s="13" t="str">
        <f t="shared" si="12"/>
        <v/>
      </c>
      <c r="I198" s="12"/>
      <c r="J198" s="13" t="str">
        <f t="shared" si="13"/>
        <v/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spans="1:21" x14ac:dyDescent="0.3">
      <c r="A199" s="12"/>
      <c r="B199" s="13" t="str">
        <f>IF(A199="","",IFERROR(INDEX(Sessions!$R$2:$R$16,MATCH(A199,Sessions!$A$2:$A$16,0)),"?"))</f>
        <v/>
      </c>
      <c r="C199" s="12"/>
      <c r="D199" s="13" t="str">
        <f>IF(C199="","",IFERROR(INDEX(Tasks!$B$2:$B$7,MATCH(C199,Tasks!$A$2:$A$7,0)),"?"))</f>
        <v/>
      </c>
      <c r="E199" s="12"/>
      <c r="F199" s="14"/>
      <c r="G199" s="14"/>
      <c r="H199" s="13" t="str">
        <f t="shared" si="12"/>
        <v/>
      </c>
      <c r="I199" s="12"/>
      <c r="J199" s="13" t="str">
        <f t="shared" si="13"/>
        <v/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x14ac:dyDescent="0.3">
      <c r="A200" s="12"/>
      <c r="B200" s="13" t="str">
        <f>IF(A200="","",IFERROR(INDEX(Sessions!$R$2:$R$16,MATCH(A200,Sessions!$A$2:$A$16,0)),"?"))</f>
        <v/>
      </c>
      <c r="C200" s="12"/>
      <c r="D200" s="13" t="str">
        <f>IF(C200="","",IFERROR(INDEX(Tasks!$B$2:$B$7,MATCH(C200,Tasks!$A$2:$A$7,0)),"?"))</f>
        <v/>
      </c>
      <c r="E200" s="12"/>
      <c r="F200" s="14"/>
      <c r="G200" s="14"/>
      <c r="H200" s="13" t="str">
        <f t="shared" si="12"/>
        <v/>
      </c>
      <c r="I200" s="12"/>
      <c r="J200" s="13" t="str">
        <f t="shared" si="13"/>
        <v/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</sheetData>
  <dataValidations count="3">
    <dataValidation type="list" allowBlank="1" showErrorMessage="1" errorTitle="Invalid value" error="Pick a value from the drop-down list." sqref="N2:N200" xr:uid="{00000000-0002-0000-0600-000002000000}">
      <formula1>"Y,N"</formula1>
    </dataValidation>
    <dataValidation type="whole" operator="greaterThanOrEqual" allowBlank="1" showErrorMessage="1" errorTitle="Invalid number" error="Enter a whole number 0 or more." sqref="K2:M200" xr:uid="{00000000-0002-0000-0600-000003000000}">
      <formula1>0</formula1>
    </dataValidation>
    <dataValidation type="whole" allowBlank="1" showErrorMessage="1" errorTitle="Invalid number" error="SEQ is 1 (very difficult) to 7 (very easy)." sqref="P2:P200" xr:uid="{00000000-0002-0000-0600-000004000000}">
      <formula1>1</formula1>
      <formula2>7</formula2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value" error="Pick a value from the drop-down list." xr:uid="{00000000-0002-0000-0600-000000000000}">
          <x14:formula1>
            <xm:f>Lists!$B$2:$B$7</xm:f>
          </x14:formula1>
          <xm:sqref>C2:C200</xm:sqref>
        </x14:dataValidation>
        <x14:dataValidation type="list" allowBlank="1" showInputMessage="1" showErrorMessage="1" errorTitle="Invalid value" error="Pick a value from the drop-down list." promptTitle="Hint" prompt="Unaided = no hint. Assisted = a neutral hint was given (stuck 60 s or asked twice). Abandoned = gave up or &gt;3 min. Application-blocked = a defect stopped the task." xr:uid="{00000000-0002-0000-0600-000001000000}">
          <x14:formula1>
            <xm:f>Lists!$A$2:$A$6</xm:f>
          </x14:formula1>
          <xm:sqref>E2:E200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12" customWidth="1"/>
    <col min="2" max="11" width="7" customWidth="1"/>
    <col min="12" max="12" width="16" customWidth="1"/>
    <col min="13" max="13" width="14" customWidth="1"/>
    <col min="14" max="14" width="30" customWidth="1"/>
  </cols>
  <sheetData>
    <row r="1" spans="1:14" ht="40.049999999999997" customHeight="1" x14ac:dyDescent="0.3">
      <c r="A1" s="10" t="s">
        <v>88</v>
      </c>
      <c r="B1" s="10" t="s">
        <v>187</v>
      </c>
      <c r="C1" s="10" t="s">
        <v>188</v>
      </c>
      <c r="D1" s="10" t="s">
        <v>189</v>
      </c>
      <c r="E1" s="10" t="s">
        <v>190</v>
      </c>
      <c r="F1" s="10" t="s">
        <v>191</v>
      </c>
      <c r="G1" s="10" t="s">
        <v>192</v>
      </c>
      <c r="H1" s="10" t="s">
        <v>193</v>
      </c>
      <c r="I1" s="10" t="s">
        <v>194</v>
      </c>
      <c r="J1" s="10" t="s">
        <v>195</v>
      </c>
      <c r="K1" s="10" t="s">
        <v>196</v>
      </c>
      <c r="L1" s="10" t="s">
        <v>197</v>
      </c>
      <c r="M1" s="10" t="s">
        <v>198</v>
      </c>
      <c r="N1" s="10" t="s">
        <v>199</v>
      </c>
    </row>
    <row r="2" spans="1:14" ht="52.8" x14ac:dyDescent="0.3">
      <c r="A2" s="12"/>
      <c r="B2" s="12">
        <v>4</v>
      </c>
      <c r="C2" s="12">
        <v>2</v>
      </c>
      <c r="D2" s="12">
        <v>4</v>
      </c>
      <c r="E2" s="12">
        <v>2</v>
      </c>
      <c r="F2" s="12">
        <v>4</v>
      </c>
      <c r="G2" s="12">
        <v>2</v>
      </c>
      <c r="H2" s="12">
        <v>4</v>
      </c>
      <c r="I2" s="12">
        <v>2</v>
      </c>
      <c r="J2" s="12">
        <v>4</v>
      </c>
      <c r="K2" s="12">
        <v>2</v>
      </c>
      <c r="L2" s="15">
        <f t="shared" ref="L2:L16" si="0">IF(COUNT(B2:K2)=10,2.5*((B2-1)+(5-C2)+(D2-1)+(5-E2)+(F2-1)+(5-G2)+(H2-1)+(5-I2)+(J2-1)+(5-K2)),"")</f>
        <v>75</v>
      </c>
      <c r="M2" s="13" t="str">
        <f t="shared" ref="M2:M16" si="1">IF(A2="","",IF(COUNT(B2:K2)=10,"Yes","No"))</f>
        <v/>
      </c>
      <c r="N2" s="12" t="s">
        <v>122</v>
      </c>
    </row>
    <row r="3" spans="1:14" ht="52.8" x14ac:dyDescent="0.3">
      <c r="A3" s="12"/>
      <c r="B3" s="12">
        <v>4</v>
      </c>
      <c r="C3" s="12">
        <v>2</v>
      </c>
      <c r="D3" s="12">
        <v>4</v>
      </c>
      <c r="E3" s="12">
        <v>2</v>
      </c>
      <c r="F3" s="12">
        <v>4</v>
      </c>
      <c r="G3" s="12">
        <v>2</v>
      </c>
      <c r="H3" s="12">
        <v>3</v>
      </c>
      <c r="I3" s="12">
        <v>2</v>
      </c>
      <c r="J3" s="12">
        <v>4</v>
      </c>
      <c r="K3" s="12">
        <v>2</v>
      </c>
      <c r="L3" s="15">
        <f t="shared" si="0"/>
        <v>72.5</v>
      </c>
      <c r="M3" s="13" t="str">
        <f t="shared" si="1"/>
        <v/>
      </c>
      <c r="N3" s="12" t="s">
        <v>122</v>
      </c>
    </row>
    <row r="4" spans="1:14" ht="52.8" x14ac:dyDescent="0.3">
      <c r="A4" s="12"/>
      <c r="B4" s="12">
        <v>4</v>
      </c>
      <c r="C4" s="12">
        <v>2</v>
      </c>
      <c r="D4" s="12">
        <v>4</v>
      </c>
      <c r="E4" s="12">
        <v>2</v>
      </c>
      <c r="F4" s="12">
        <v>4</v>
      </c>
      <c r="G4" s="12">
        <v>2</v>
      </c>
      <c r="H4" s="12">
        <v>4</v>
      </c>
      <c r="I4" s="12">
        <v>2</v>
      </c>
      <c r="J4" s="12">
        <v>4</v>
      </c>
      <c r="K4" s="12">
        <v>2</v>
      </c>
      <c r="L4" s="15">
        <f t="shared" si="0"/>
        <v>75</v>
      </c>
      <c r="M4" s="13" t="str">
        <f t="shared" si="1"/>
        <v/>
      </c>
      <c r="N4" s="12" t="s">
        <v>122</v>
      </c>
    </row>
    <row r="5" spans="1:14" ht="52.8" x14ac:dyDescent="0.3">
      <c r="A5" s="12"/>
      <c r="B5" s="12">
        <v>3</v>
      </c>
      <c r="C5" s="12">
        <v>3</v>
      </c>
      <c r="D5" s="12">
        <v>3</v>
      </c>
      <c r="E5" s="12">
        <v>3</v>
      </c>
      <c r="F5" s="12">
        <v>4</v>
      </c>
      <c r="G5" s="12">
        <v>3</v>
      </c>
      <c r="H5" s="12">
        <v>3</v>
      </c>
      <c r="I5" s="12">
        <v>3</v>
      </c>
      <c r="J5" s="12">
        <v>3</v>
      </c>
      <c r="K5" s="12">
        <v>3</v>
      </c>
      <c r="L5" s="15">
        <f t="shared" si="0"/>
        <v>52.5</v>
      </c>
      <c r="M5" s="13" t="str">
        <f t="shared" si="1"/>
        <v/>
      </c>
      <c r="N5" s="12" t="s">
        <v>122</v>
      </c>
    </row>
    <row r="6" spans="1:14" ht="52.8" x14ac:dyDescent="0.3">
      <c r="A6" s="12"/>
      <c r="B6" s="12">
        <v>4</v>
      </c>
      <c r="C6" s="12">
        <v>2</v>
      </c>
      <c r="D6" s="12">
        <v>4</v>
      </c>
      <c r="E6" s="12">
        <v>2</v>
      </c>
      <c r="F6" s="12">
        <v>4</v>
      </c>
      <c r="G6" s="12">
        <v>2</v>
      </c>
      <c r="H6" s="12">
        <v>4</v>
      </c>
      <c r="I6" s="12">
        <v>2</v>
      </c>
      <c r="J6" s="12">
        <v>4</v>
      </c>
      <c r="K6" s="12">
        <v>2</v>
      </c>
      <c r="L6" s="15">
        <f t="shared" si="0"/>
        <v>75</v>
      </c>
      <c r="M6" s="13" t="str">
        <f t="shared" si="1"/>
        <v/>
      </c>
      <c r="N6" s="12" t="s">
        <v>122</v>
      </c>
    </row>
    <row r="7" spans="1:14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5" t="str">
        <f t="shared" si="0"/>
        <v/>
      </c>
      <c r="M7" s="13" t="str">
        <f t="shared" si="1"/>
        <v/>
      </c>
      <c r="N7" s="12"/>
    </row>
    <row r="8" spans="1:14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5" t="str">
        <f t="shared" si="0"/>
        <v/>
      </c>
      <c r="M8" s="13" t="str">
        <f t="shared" si="1"/>
        <v/>
      </c>
      <c r="N8" s="12"/>
    </row>
    <row r="9" spans="1:1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5" t="str">
        <f t="shared" si="0"/>
        <v/>
      </c>
      <c r="M9" s="13" t="str">
        <f t="shared" si="1"/>
        <v/>
      </c>
      <c r="N9" s="12"/>
    </row>
    <row r="10" spans="1:1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5" t="str">
        <f t="shared" si="0"/>
        <v/>
      </c>
      <c r="M10" s="13" t="str">
        <f t="shared" si="1"/>
        <v/>
      </c>
      <c r="N10" s="12"/>
    </row>
    <row r="11" spans="1:1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5" t="str">
        <f t="shared" si="0"/>
        <v/>
      </c>
      <c r="M11" s="13" t="str">
        <f t="shared" si="1"/>
        <v/>
      </c>
      <c r="N11" s="12"/>
    </row>
    <row r="12" spans="1:1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5" t="str">
        <f t="shared" si="0"/>
        <v/>
      </c>
      <c r="M12" s="13" t="str">
        <f t="shared" si="1"/>
        <v/>
      </c>
      <c r="N12" s="12"/>
    </row>
    <row r="13" spans="1:1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5" t="str">
        <f t="shared" si="0"/>
        <v/>
      </c>
      <c r="M13" s="13" t="str">
        <f t="shared" si="1"/>
        <v/>
      </c>
      <c r="N13" s="12"/>
    </row>
    <row r="14" spans="1:1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5" t="str">
        <f t="shared" si="0"/>
        <v/>
      </c>
      <c r="M14" s="13" t="str">
        <f t="shared" si="1"/>
        <v/>
      </c>
      <c r="N14" s="12"/>
    </row>
    <row r="15" spans="1:1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5" t="str">
        <f t="shared" si="0"/>
        <v/>
      </c>
      <c r="M15" s="13" t="str">
        <f t="shared" si="1"/>
        <v/>
      </c>
      <c r="N15" s="12"/>
    </row>
    <row r="16" spans="1:1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5" t="str">
        <f t="shared" si="0"/>
        <v/>
      </c>
      <c r="M16" s="13" t="str">
        <f t="shared" si="1"/>
        <v/>
      </c>
      <c r="N16" s="12"/>
    </row>
    <row r="19" spans="1:2" x14ac:dyDescent="0.3">
      <c r="A19" s="8" t="s">
        <v>200</v>
      </c>
    </row>
    <row r="21" spans="1:2" x14ac:dyDescent="0.3">
      <c r="A21" s="3" t="s">
        <v>187</v>
      </c>
      <c r="B21" s="6" t="s">
        <v>201</v>
      </c>
    </row>
    <row r="22" spans="1:2" x14ac:dyDescent="0.3">
      <c r="A22" s="3" t="s">
        <v>188</v>
      </c>
      <c r="B22" s="6" t="s">
        <v>202</v>
      </c>
    </row>
    <row r="23" spans="1:2" x14ac:dyDescent="0.3">
      <c r="A23" s="3" t="s">
        <v>189</v>
      </c>
      <c r="B23" s="6" t="s">
        <v>203</v>
      </c>
    </row>
    <row r="24" spans="1:2" x14ac:dyDescent="0.3">
      <c r="A24" s="3" t="s">
        <v>190</v>
      </c>
      <c r="B24" s="6" t="s">
        <v>204</v>
      </c>
    </row>
    <row r="25" spans="1:2" x14ac:dyDescent="0.3">
      <c r="A25" s="3" t="s">
        <v>191</v>
      </c>
      <c r="B25" s="6" t="s">
        <v>205</v>
      </c>
    </row>
    <row r="26" spans="1:2" x14ac:dyDescent="0.3">
      <c r="A26" s="3" t="s">
        <v>192</v>
      </c>
      <c r="B26" s="6" t="s">
        <v>206</v>
      </c>
    </row>
    <row r="27" spans="1:2" x14ac:dyDescent="0.3">
      <c r="A27" s="3" t="s">
        <v>193</v>
      </c>
      <c r="B27" s="6" t="s">
        <v>207</v>
      </c>
    </row>
    <row r="28" spans="1:2" x14ac:dyDescent="0.3">
      <c r="A28" s="3" t="s">
        <v>194</v>
      </c>
      <c r="B28" s="6" t="s">
        <v>208</v>
      </c>
    </row>
    <row r="29" spans="1:2" x14ac:dyDescent="0.3">
      <c r="A29" s="3" t="s">
        <v>195</v>
      </c>
      <c r="B29" s="6" t="s">
        <v>209</v>
      </c>
    </row>
    <row r="30" spans="1:2" x14ac:dyDescent="0.3">
      <c r="A30" s="3" t="s">
        <v>196</v>
      </c>
      <c r="B30" s="6" t="s">
        <v>210</v>
      </c>
    </row>
  </sheetData>
  <dataValidations count="1">
    <dataValidation type="whole" allowBlank="1" showErrorMessage="1" errorTitle="Invalid number" error="SUS answers are whole numbers 1 to 5." sqref="B2:K16" xr:uid="{00000000-0002-0000-0700-000000000000}">
      <formula1>1</formula1>
      <formula2>5</formula2>
    </dataValidation>
  </dataValidation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10" customWidth="1"/>
    <col min="2" max="2" width="9" customWidth="1"/>
    <col min="3" max="3" width="26" customWidth="1"/>
    <col min="4" max="4" width="52" customWidth="1"/>
    <col min="5" max="5" width="36" customWidth="1"/>
    <col min="6" max="7" width="11" customWidth="1"/>
    <col min="8" max="8" width="10" customWidth="1"/>
    <col min="9" max="9" width="22" customWidth="1"/>
    <col min="10" max="10" width="20" customWidth="1"/>
    <col min="11" max="11" width="14" customWidth="1"/>
    <col min="12" max="12" width="44" customWidth="1"/>
    <col min="13" max="13" width="18" customWidth="1"/>
    <col min="14" max="15" width="12" customWidth="1"/>
    <col min="16" max="16" width="30" customWidth="1"/>
  </cols>
  <sheetData>
    <row r="1" spans="1:16" ht="58.05" customHeight="1" x14ac:dyDescent="0.3">
      <c r="A1" s="10" t="s">
        <v>211</v>
      </c>
      <c r="B1" s="10" t="s">
        <v>212</v>
      </c>
      <c r="C1" s="10" t="s">
        <v>213</v>
      </c>
      <c r="D1" s="10" t="s">
        <v>214</v>
      </c>
      <c r="E1" s="10" t="s">
        <v>215</v>
      </c>
      <c r="F1" s="10" t="s">
        <v>216</v>
      </c>
      <c r="G1" s="10" t="s">
        <v>217</v>
      </c>
      <c r="H1" s="10" t="s">
        <v>218</v>
      </c>
      <c r="I1" s="10" t="s">
        <v>219</v>
      </c>
      <c r="J1" s="10" t="s">
        <v>220</v>
      </c>
      <c r="K1" s="10" t="s">
        <v>221</v>
      </c>
      <c r="L1" s="10" t="s">
        <v>222</v>
      </c>
      <c r="M1" s="10" t="s">
        <v>223</v>
      </c>
      <c r="N1" s="10" t="s">
        <v>224</v>
      </c>
      <c r="O1" s="10" t="s">
        <v>225</v>
      </c>
      <c r="P1" s="10" t="s">
        <v>199</v>
      </c>
    </row>
    <row r="2" spans="1:16" x14ac:dyDescent="0.3">
      <c r="A2" s="12"/>
      <c r="B2" s="12"/>
      <c r="C2" s="12"/>
      <c r="D2" s="12"/>
      <c r="E2" s="12"/>
      <c r="F2" s="12"/>
      <c r="G2" s="16" t="str">
        <f>IF(OR(F2="",N('Severity Scale'!$B$2)=0),"",F2/'Severity Scale'!$B$2)</f>
        <v/>
      </c>
      <c r="H2" s="12"/>
      <c r="I2" s="13" t="str">
        <f>IF(H2="","",IFERROR(INDEX('Severity Scale'!$B$5:$B$9,H2+1)&amp;" ("&amp;INDEX('Severity Scale'!$C$5:$C$9,H2+1)&amp;")",""))</f>
        <v/>
      </c>
      <c r="J2" s="12"/>
      <c r="K2" s="12"/>
      <c r="L2" s="12"/>
      <c r="M2" s="12"/>
      <c r="N2" s="12"/>
      <c r="O2" s="17"/>
      <c r="P2" s="12"/>
    </row>
    <row r="3" spans="1:16" x14ac:dyDescent="0.3">
      <c r="A3" s="12"/>
      <c r="B3" s="12"/>
      <c r="C3" s="12"/>
      <c r="D3" s="12"/>
      <c r="E3" s="12"/>
      <c r="F3" s="12"/>
      <c r="G3" s="16" t="str">
        <f>IF(OR(F3="",N('Severity Scale'!$B$2)=0),"",F3/'Severity Scale'!$B$2)</f>
        <v/>
      </c>
      <c r="H3" s="12"/>
      <c r="I3" s="13" t="str">
        <f>IF(H3="","",IFERROR(INDEX('Severity Scale'!$B$5:$B$9,H3+1)&amp;" ("&amp;INDEX('Severity Scale'!$C$5:$C$9,H3+1)&amp;")",""))</f>
        <v/>
      </c>
      <c r="J3" s="12"/>
      <c r="K3" s="12"/>
      <c r="L3" s="12"/>
      <c r="M3" s="12"/>
      <c r="N3" s="12"/>
      <c r="O3" s="17"/>
      <c r="P3" s="12"/>
    </row>
    <row r="4" spans="1:16" x14ac:dyDescent="0.3">
      <c r="A4" s="12"/>
      <c r="B4" s="12"/>
      <c r="C4" s="12"/>
      <c r="D4" s="12"/>
      <c r="E4" s="12"/>
      <c r="F4" s="12"/>
      <c r="G4" s="16" t="str">
        <f>IF(OR(F4="",N('Severity Scale'!$B$2)=0),"",F4/'Severity Scale'!$B$2)</f>
        <v/>
      </c>
      <c r="H4" s="12"/>
      <c r="I4" s="13" t="str">
        <f>IF(H4="","",IFERROR(INDEX('Severity Scale'!$B$5:$B$9,H4+1)&amp;" ("&amp;INDEX('Severity Scale'!$C$5:$C$9,H4+1)&amp;")",""))</f>
        <v/>
      </c>
      <c r="J4" s="12"/>
      <c r="K4" s="12"/>
      <c r="L4" s="12"/>
      <c r="M4" s="12"/>
      <c r="N4" s="12"/>
      <c r="O4" s="17"/>
      <c r="P4" s="12"/>
    </row>
    <row r="5" spans="1:16" x14ac:dyDescent="0.3">
      <c r="A5" s="12"/>
      <c r="B5" s="12"/>
      <c r="C5" s="12"/>
      <c r="D5" s="12"/>
      <c r="E5" s="12"/>
      <c r="F5" s="12"/>
      <c r="G5" s="16" t="str">
        <f>IF(OR(F5="",N('Severity Scale'!$B$2)=0),"",F5/'Severity Scale'!$B$2)</f>
        <v/>
      </c>
      <c r="H5" s="12"/>
      <c r="I5" s="13" t="str">
        <f>IF(H5="","",IFERROR(INDEX('Severity Scale'!$B$5:$B$9,H5+1)&amp;" ("&amp;INDEX('Severity Scale'!$C$5:$C$9,H5+1)&amp;")",""))</f>
        <v/>
      </c>
      <c r="J5" s="12"/>
      <c r="K5" s="12"/>
      <c r="L5" s="12"/>
      <c r="M5" s="12"/>
      <c r="N5" s="12"/>
      <c r="O5" s="17"/>
      <c r="P5" s="12"/>
    </row>
    <row r="6" spans="1:16" x14ac:dyDescent="0.3">
      <c r="A6" s="12"/>
      <c r="B6" s="12"/>
      <c r="C6" s="12"/>
      <c r="D6" s="12"/>
      <c r="E6" s="12"/>
      <c r="F6" s="12"/>
      <c r="G6" s="16" t="str">
        <f>IF(OR(F6="",N('Severity Scale'!$B$2)=0),"",F6/'Severity Scale'!$B$2)</f>
        <v/>
      </c>
      <c r="H6" s="12"/>
      <c r="I6" s="13" t="str">
        <f>IF(H6="","",IFERROR(INDEX('Severity Scale'!$B$5:$B$9,H6+1)&amp;" ("&amp;INDEX('Severity Scale'!$C$5:$C$9,H6+1)&amp;")",""))</f>
        <v/>
      </c>
      <c r="J6" s="12"/>
      <c r="K6" s="12"/>
      <c r="L6" s="12"/>
      <c r="M6" s="12"/>
      <c r="N6" s="12"/>
      <c r="O6" s="17"/>
      <c r="P6" s="12"/>
    </row>
    <row r="7" spans="1:16" x14ac:dyDescent="0.3">
      <c r="A7" s="12"/>
      <c r="B7" s="12"/>
      <c r="C7" s="12"/>
      <c r="D7" s="12"/>
      <c r="E7" s="12"/>
      <c r="F7" s="12"/>
      <c r="G7" s="16" t="str">
        <f>IF(OR(F7="",N('Severity Scale'!$B$2)=0),"",F7/'Severity Scale'!$B$2)</f>
        <v/>
      </c>
      <c r="H7" s="12"/>
      <c r="I7" s="13" t="str">
        <f>IF(H7="","",IFERROR(INDEX('Severity Scale'!$B$5:$B$9,H7+1)&amp;" ("&amp;INDEX('Severity Scale'!$C$5:$C$9,H7+1)&amp;")",""))</f>
        <v/>
      </c>
      <c r="J7" s="12"/>
      <c r="K7" s="12"/>
      <c r="L7" s="12"/>
      <c r="M7" s="12"/>
      <c r="N7" s="12"/>
      <c r="O7" s="17"/>
      <c r="P7" s="12"/>
    </row>
    <row r="8" spans="1:16" ht="39.6" x14ac:dyDescent="0.3">
      <c r="A8" s="12" t="s">
        <v>163</v>
      </c>
      <c r="B8" s="12" t="s">
        <v>71</v>
      </c>
      <c r="C8" s="12" t="s">
        <v>109</v>
      </c>
      <c r="D8" s="12" t="s">
        <v>226</v>
      </c>
      <c r="E8" s="12" t="s">
        <v>227</v>
      </c>
      <c r="F8" s="12">
        <v>3</v>
      </c>
      <c r="G8" s="16">
        <f>IF(OR(F8="",N('Severity Scale'!$B$2)=0),"",F8/'Severity Scale'!$B$2)</f>
        <v>0.6</v>
      </c>
      <c r="H8" s="12">
        <v>3</v>
      </c>
      <c r="I8" s="13" t="str">
        <f>IF(H8="","",IFERROR(INDEX('Severity Scale'!$B$5:$B$9,H8+1)&amp;" ("&amp;INDEX('Severity Scale'!$C$5:$C$9,H8+1)&amp;")",""))</f>
        <v>Major problem (High)</v>
      </c>
      <c r="J8" s="12" t="s">
        <v>228</v>
      </c>
      <c r="K8" s="12" t="s">
        <v>229</v>
      </c>
      <c r="L8" s="12" t="s">
        <v>230</v>
      </c>
      <c r="M8" s="12" t="s">
        <v>231</v>
      </c>
      <c r="N8" s="12" t="s">
        <v>232</v>
      </c>
      <c r="O8" s="17"/>
      <c r="P8" s="12"/>
    </row>
    <row r="9" spans="1:16" ht="39.6" x14ac:dyDescent="0.3">
      <c r="A9" s="12" t="s">
        <v>166</v>
      </c>
      <c r="B9" s="12" t="s">
        <v>73</v>
      </c>
      <c r="C9" s="12" t="s">
        <v>109</v>
      </c>
      <c r="D9" s="12" t="s">
        <v>233</v>
      </c>
      <c r="E9" s="12" t="s">
        <v>234</v>
      </c>
      <c r="F9" s="12">
        <v>5</v>
      </c>
      <c r="G9" s="16">
        <f>IF(OR(F9="",N('Severity Scale'!$B$2)=0),"",F9/'Severity Scale'!$B$2)</f>
        <v>1</v>
      </c>
      <c r="H9" s="12">
        <v>3</v>
      </c>
      <c r="I9" s="13" t="str">
        <f>IF(H9="","",IFERROR(INDEX('Severity Scale'!$B$5:$B$9,H9+1)&amp;" ("&amp;INDEX('Severity Scale'!$C$5:$C$9,H9+1)&amp;")",""))</f>
        <v>Major problem (High)</v>
      </c>
      <c r="J9" s="12" t="s">
        <v>235</v>
      </c>
      <c r="K9" s="12" t="s">
        <v>229</v>
      </c>
      <c r="L9" s="12" t="s">
        <v>236</v>
      </c>
      <c r="M9" s="12" t="s">
        <v>231</v>
      </c>
      <c r="N9" s="12" t="s">
        <v>237</v>
      </c>
      <c r="O9" s="17"/>
      <c r="P9" s="12"/>
    </row>
    <row r="10" spans="1:16" ht="39.6" x14ac:dyDescent="0.3">
      <c r="A10" s="12" t="s">
        <v>160</v>
      </c>
      <c r="B10" s="12" t="s">
        <v>69</v>
      </c>
      <c r="C10" s="12" t="s">
        <v>109</v>
      </c>
      <c r="D10" s="12" t="s">
        <v>238</v>
      </c>
      <c r="E10" s="12" t="s">
        <v>239</v>
      </c>
      <c r="F10" s="12">
        <v>2</v>
      </c>
      <c r="G10" s="16">
        <f>IF(OR(F10="",N('Severity Scale'!$B$2)=0),"",F10/'Severity Scale'!$B$2)</f>
        <v>0.4</v>
      </c>
      <c r="H10" s="12">
        <v>2</v>
      </c>
      <c r="I10" s="13" t="str">
        <f>IF(H10="","",IFERROR(INDEX('Severity Scale'!$B$5:$B$9,H10+1)&amp;" ("&amp;INDEX('Severity Scale'!$C$5:$C$9,H10+1)&amp;")",""))</f>
        <v>Minor problem (Medium)</v>
      </c>
      <c r="J10" s="12" t="s">
        <v>240</v>
      </c>
      <c r="K10" s="12" t="s">
        <v>241</v>
      </c>
      <c r="L10" s="12" t="s">
        <v>242</v>
      </c>
      <c r="M10" s="12" t="s">
        <v>231</v>
      </c>
      <c r="N10" s="12" t="s">
        <v>243</v>
      </c>
      <c r="O10" s="17"/>
      <c r="P10" s="12"/>
    </row>
    <row r="11" spans="1:16" ht="39.6" x14ac:dyDescent="0.3">
      <c r="A11" s="12" t="s">
        <v>169</v>
      </c>
      <c r="B11" s="12" t="s">
        <v>77</v>
      </c>
      <c r="C11" s="12" t="s">
        <v>109</v>
      </c>
      <c r="D11" s="12" t="s">
        <v>244</v>
      </c>
      <c r="E11" s="12" t="s">
        <v>245</v>
      </c>
      <c r="F11" s="12">
        <v>3</v>
      </c>
      <c r="G11" s="16">
        <f>IF(OR(F11="",N('Severity Scale'!$B$2)=0),"",F11/'Severity Scale'!$B$2)</f>
        <v>0.6</v>
      </c>
      <c r="H11" s="12">
        <v>3</v>
      </c>
      <c r="I11" s="13" t="str">
        <f>IF(H11="","",IFERROR(INDEX('Severity Scale'!$B$5:$B$9,H11+1)&amp;" ("&amp;INDEX('Severity Scale'!$C$5:$C$9,H11+1)&amp;")",""))</f>
        <v>Major problem (High)</v>
      </c>
      <c r="J11" s="12" t="s">
        <v>246</v>
      </c>
      <c r="K11" s="12" t="s">
        <v>229</v>
      </c>
      <c r="L11" s="12" t="s">
        <v>247</v>
      </c>
      <c r="M11" s="12" t="s">
        <v>231</v>
      </c>
      <c r="N11" s="12" t="s">
        <v>248</v>
      </c>
      <c r="O11" s="17"/>
      <c r="P11" s="12"/>
    </row>
    <row r="12" spans="1:16" x14ac:dyDescent="0.3">
      <c r="A12" s="12"/>
      <c r="B12" s="12"/>
      <c r="C12" s="12"/>
      <c r="D12" s="12"/>
      <c r="E12" s="12"/>
      <c r="F12" s="12"/>
      <c r="G12" s="16" t="str">
        <f>IF(OR(F12="",N('Severity Scale'!$B$2)=0),"",F12/'Severity Scale'!$B$2)</f>
        <v/>
      </c>
      <c r="H12" s="12"/>
      <c r="I12" s="13" t="str">
        <f>IF(H12="","",IFERROR(INDEX('Severity Scale'!$B$5:$B$9,H12+1)&amp;" ("&amp;INDEX('Severity Scale'!$C$5:$C$9,H12+1)&amp;")",""))</f>
        <v/>
      </c>
      <c r="J12" s="12"/>
      <c r="K12" s="12"/>
      <c r="L12" s="12"/>
      <c r="M12" s="12"/>
      <c r="N12" s="12"/>
      <c r="O12" s="17"/>
      <c r="P12" s="12"/>
    </row>
    <row r="13" spans="1:16" x14ac:dyDescent="0.3">
      <c r="A13" s="12"/>
      <c r="B13" s="12"/>
      <c r="C13" s="12"/>
      <c r="D13" s="12"/>
      <c r="E13" s="12"/>
      <c r="F13" s="12"/>
      <c r="G13" s="16" t="str">
        <f>IF(OR(F13="",N('Severity Scale'!$B$2)=0),"",F13/'Severity Scale'!$B$2)</f>
        <v/>
      </c>
      <c r="H13" s="12"/>
      <c r="I13" s="13" t="str">
        <f>IF(H13="","",IFERROR(INDEX('Severity Scale'!$B$5:$B$9,H13+1)&amp;" ("&amp;INDEX('Severity Scale'!$C$5:$C$9,H13+1)&amp;")",""))</f>
        <v/>
      </c>
      <c r="J13" s="12"/>
      <c r="K13" s="12"/>
      <c r="L13" s="12"/>
      <c r="M13" s="12"/>
      <c r="N13" s="12"/>
      <c r="O13" s="17"/>
      <c r="P13" s="12"/>
    </row>
    <row r="14" spans="1:16" x14ac:dyDescent="0.3">
      <c r="A14" s="12"/>
      <c r="B14" s="12"/>
      <c r="C14" s="12"/>
      <c r="D14" s="12"/>
      <c r="E14" s="12"/>
      <c r="F14" s="12"/>
      <c r="G14" s="16" t="str">
        <f>IF(OR(F14="",N('Severity Scale'!$B$2)=0),"",F14/'Severity Scale'!$B$2)</f>
        <v/>
      </c>
      <c r="H14" s="12"/>
      <c r="I14" s="13" t="str">
        <f>IF(H14="","",IFERROR(INDEX('Severity Scale'!$B$5:$B$9,H14+1)&amp;" ("&amp;INDEX('Severity Scale'!$C$5:$C$9,H14+1)&amp;")",""))</f>
        <v/>
      </c>
      <c r="J14" s="12"/>
      <c r="K14" s="12"/>
      <c r="L14" s="12"/>
      <c r="M14" s="12"/>
      <c r="N14" s="12"/>
      <c r="O14" s="17"/>
      <c r="P14" s="12"/>
    </row>
    <row r="15" spans="1:16" x14ac:dyDescent="0.3">
      <c r="A15" s="12"/>
      <c r="B15" s="12"/>
      <c r="C15" s="12"/>
      <c r="D15" s="12"/>
      <c r="E15" s="12"/>
      <c r="F15" s="12"/>
      <c r="G15" s="16" t="str">
        <f>IF(OR(F15="",N('Severity Scale'!$B$2)=0),"",F15/'Severity Scale'!$B$2)</f>
        <v/>
      </c>
      <c r="H15" s="12"/>
      <c r="I15" s="13" t="str">
        <f>IF(H15="","",IFERROR(INDEX('Severity Scale'!$B$5:$B$9,H15+1)&amp;" ("&amp;INDEX('Severity Scale'!$C$5:$C$9,H15+1)&amp;")",""))</f>
        <v/>
      </c>
      <c r="J15" s="12"/>
      <c r="K15" s="12"/>
      <c r="L15" s="12"/>
      <c r="M15" s="12"/>
      <c r="N15" s="12"/>
      <c r="O15" s="17"/>
      <c r="P15" s="12"/>
    </row>
    <row r="16" spans="1:16" x14ac:dyDescent="0.3">
      <c r="A16" s="12"/>
      <c r="B16" s="12"/>
      <c r="C16" s="12"/>
      <c r="D16" s="12"/>
      <c r="E16" s="12"/>
      <c r="F16" s="12"/>
      <c r="G16" s="16" t="str">
        <f>IF(OR(F16="",N('Severity Scale'!$B$2)=0),"",F16/'Severity Scale'!$B$2)</f>
        <v/>
      </c>
      <c r="H16" s="12"/>
      <c r="I16" s="13" t="str">
        <f>IF(H16="","",IFERROR(INDEX('Severity Scale'!$B$5:$B$9,H16+1)&amp;" ("&amp;INDEX('Severity Scale'!$C$5:$C$9,H16+1)&amp;")",""))</f>
        <v/>
      </c>
      <c r="J16" s="12"/>
      <c r="K16" s="12"/>
      <c r="L16" s="12"/>
      <c r="M16" s="12"/>
      <c r="N16" s="12"/>
      <c r="O16" s="17"/>
      <c r="P16" s="12"/>
    </row>
    <row r="17" spans="1:16" x14ac:dyDescent="0.3">
      <c r="A17" s="12"/>
      <c r="B17" s="12"/>
      <c r="C17" s="12"/>
      <c r="D17" s="12"/>
      <c r="E17" s="12"/>
      <c r="F17" s="12"/>
      <c r="G17" s="16" t="str">
        <f>IF(OR(F17="",N('Severity Scale'!$B$2)=0),"",F17/'Severity Scale'!$B$2)</f>
        <v/>
      </c>
      <c r="H17" s="12"/>
      <c r="I17" s="13" t="str">
        <f>IF(H17="","",IFERROR(INDEX('Severity Scale'!$B$5:$B$9,H17+1)&amp;" ("&amp;INDEX('Severity Scale'!$C$5:$C$9,H17+1)&amp;")",""))</f>
        <v/>
      </c>
      <c r="J17" s="12"/>
      <c r="K17" s="12"/>
      <c r="L17" s="12"/>
      <c r="M17" s="12"/>
      <c r="N17" s="12"/>
      <c r="O17" s="17"/>
      <c r="P17" s="12"/>
    </row>
    <row r="18" spans="1:16" x14ac:dyDescent="0.3">
      <c r="A18" s="12"/>
      <c r="B18" s="12"/>
      <c r="C18" s="12"/>
      <c r="D18" s="12"/>
      <c r="E18" s="12"/>
      <c r="F18" s="12"/>
      <c r="G18" s="16" t="str">
        <f>IF(OR(F18="",N('Severity Scale'!$B$2)=0),"",F18/'Severity Scale'!$B$2)</f>
        <v/>
      </c>
      <c r="H18" s="12"/>
      <c r="I18" s="13" t="str">
        <f>IF(H18="","",IFERROR(INDEX('Severity Scale'!$B$5:$B$9,H18+1)&amp;" ("&amp;INDEX('Severity Scale'!$C$5:$C$9,H18+1)&amp;")",""))</f>
        <v/>
      </c>
      <c r="J18" s="12"/>
      <c r="K18" s="12"/>
      <c r="L18" s="12"/>
      <c r="M18" s="12"/>
      <c r="N18" s="12"/>
      <c r="O18" s="17"/>
      <c r="P18" s="12"/>
    </row>
    <row r="19" spans="1:16" x14ac:dyDescent="0.3">
      <c r="A19" s="12"/>
      <c r="B19" s="12"/>
      <c r="C19" s="12"/>
      <c r="D19" s="12"/>
      <c r="E19" s="12"/>
      <c r="F19" s="12"/>
      <c r="G19" s="16" t="str">
        <f>IF(OR(F19="",N('Severity Scale'!$B$2)=0),"",F19/'Severity Scale'!$B$2)</f>
        <v/>
      </c>
      <c r="H19" s="12"/>
      <c r="I19" s="13" t="str">
        <f>IF(H19="","",IFERROR(INDEX('Severity Scale'!$B$5:$B$9,H19+1)&amp;" ("&amp;INDEX('Severity Scale'!$C$5:$C$9,H19+1)&amp;")",""))</f>
        <v/>
      </c>
      <c r="J19" s="12"/>
      <c r="K19" s="12"/>
      <c r="L19" s="12"/>
      <c r="M19" s="12"/>
      <c r="N19" s="12"/>
      <c r="O19" s="17"/>
      <c r="P19" s="12"/>
    </row>
    <row r="20" spans="1:16" x14ac:dyDescent="0.3">
      <c r="A20" s="12"/>
      <c r="B20" s="12"/>
      <c r="C20" s="12"/>
      <c r="D20" s="12"/>
      <c r="E20" s="12"/>
      <c r="F20" s="12"/>
      <c r="G20" s="16" t="str">
        <f>IF(OR(F20="",N('Severity Scale'!$B$2)=0),"",F20/'Severity Scale'!$B$2)</f>
        <v/>
      </c>
      <c r="H20" s="12"/>
      <c r="I20" s="13" t="str">
        <f>IF(H20="","",IFERROR(INDEX('Severity Scale'!$B$5:$B$9,H20+1)&amp;" ("&amp;INDEX('Severity Scale'!$C$5:$C$9,H20+1)&amp;")",""))</f>
        <v/>
      </c>
      <c r="J20" s="12"/>
      <c r="K20" s="12"/>
      <c r="L20" s="12"/>
      <c r="M20" s="12"/>
      <c r="N20" s="12"/>
      <c r="O20" s="17"/>
      <c r="P20" s="12"/>
    </row>
    <row r="21" spans="1:16" x14ac:dyDescent="0.3">
      <c r="A21" s="12"/>
      <c r="B21" s="12"/>
      <c r="C21" s="12"/>
      <c r="D21" s="12"/>
      <c r="E21" s="12"/>
      <c r="F21" s="12"/>
      <c r="G21" s="16" t="str">
        <f>IF(OR(F21="",N('Severity Scale'!$B$2)=0),"",F21/'Severity Scale'!$B$2)</f>
        <v/>
      </c>
      <c r="H21" s="12"/>
      <c r="I21" s="13" t="str">
        <f>IF(H21="","",IFERROR(INDEX('Severity Scale'!$B$5:$B$9,H21+1)&amp;" ("&amp;INDEX('Severity Scale'!$C$5:$C$9,H21+1)&amp;")",""))</f>
        <v/>
      </c>
      <c r="J21" s="12"/>
      <c r="K21" s="12"/>
      <c r="L21" s="12"/>
      <c r="M21" s="12"/>
      <c r="N21" s="12"/>
      <c r="O21" s="17"/>
      <c r="P21" s="12"/>
    </row>
    <row r="22" spans="1:16" x14ac:dyDescent="0.3">
      <c r="A22" s="12"/>
      <c r="B22" s="12"/>
      <c r="C22" s="12"/>
      <c r="D22" s="12"/>
      <c r="E22" s="12"/>
      <c r="F22" s="12"/>
      <c r="G22" s="16" t="str">
        <f>IF(OR(F22="",N('Severity Scale'!$B$2)=0),"",F22/'Severity Scale'!$B$2)</f>
        <v/>
      </c>
      <c r="H22" s="12"/>
      <c r="I22" s="13" t="str">
        <f>IF(H22="","",IFERROR(INDEX('Severity Scale'!$B$5:$B$9,H22+1)&amp;" ("&amp;INDEX('Severity Scale'!$C$5:$C$9,H22+1)&amp;")",""))</f>
        <v/>
      </c>
      <c r="J22" s="12"/>
      <c r="K22" s="12"/>
      <c r="L22" s="12"/>
      <c r="M22" s="12"/>
      <c r="N22" s="12"/>
      <c r="O22" s="17"/>
      <c r="P22" s="12"/>
    </row>
    <row r="23" spans="1:16" x14ac:dyDescent="0.3">
      <c r="A23" s="12"/>
      <c r="B23" s="12"/>
      <c r="C23" s="12"/>
      <c r="D23" s="12"/>
      <c r="E23" s="12"/>
      <c r="F23" s="12"/>
      <c r="G23" s="16" t="str">
        <f>IF(OR(F23="",N('Severity Scale'!$B$2)=0),"",F23/'Severity Scale'!$B$2)</f>
        <v/>
      </c>
      <c r="H23" s="12"/>
      <c r="I23" s="13" t="str">
        <f>IF(H23="","",IFERROR(INDEX('Severity Scale'!$B$5:$B$9,H23+1)&amp;" ("&amp;INDEX('Severity Scale'!$C$5:$C$9,H23+1)&amp;")",""))</f>
        <v/>
      </c>
      <c r="J23" s="12"/>
      <c r="K23" s="12"/>
      <c r="L23" s="12"/>
      <c r="M23" s="12"/>
      <c r="N23" s="12"/>
      <c r="O23" s="17"/>
      <c r="P23" s="12"/>
    </row>
    <row r="24" spans="1:16" x14ac:dyDescent="0.3">
      <c r="A24" s="12"/>
      <c r="B24" s="12"/>
      <c r="C24" s="12"/>
      <c r="D24" s="12"/>
      <c r="E24" s="12"/>
      <c r="F24" s="12"/>
      <c r="G24" s="16" t="str">
        <f>IF(OR(F24="",N('Severity Scale'!$B$2)=0),"",F24/'Severity Scale'!$B$2)</f>
        <v/>
      </c>
      <c r="H24" s="12"/>
      <c r="I24" s="13" t="str">
        <f>IF(H24="","",IFERROR(INDEX('Severity Scale'!$B$5:$B$9,H24+1)&amp;" ("&amp;INDEX('Severity Scale'!$C$5:$C$9,H24+1)&amp;")",""))</f>
        <v/>
      </c>
      <c r="J24" s="12"/>
      <c r="K24" s="12"/>
      <c r="L24" s="12"/>
      <c r="M24" s="12"/>
      <c r="N24" s="12"/>
      <c r="O24" s="17"/>
      <c r="P24" s="12"/>
    </row>
    <row r="25" spans="1:16" x14ac:dyDescent="0.3">
      <c r="A25" s="12"/>
      <c r="B25" s="12"/>
      <c r="C25" s="12"/>
      <c r="D25" s="12"/>
      <c r="E25" s="12"/>
      <c r="F25" s="12"/>
      <c r="G25" s="16" t="str">
        <f>IF(OR(F25="",N('Severity Scale'!$B$2)=0),"",F25/'Severity Scale'!$B$2)</f>
        <v/>
      </c>
      <c r="H25" s="12"/>
      <c r="I25" s="13" t="str">
        <f>IF(H25="","",IFERROR(INDEX('Severity Scale'!$B$5:$B$9,H25+1)&amp;" ("&amp;INDEX('Severity Scale'!$C$5:$C$9,H25+1)&amp;")",""))</f>
        <v/>
      </c>
      <c r="J25" s="12"/>
      <c r="K25" s="12"/>
      <c r="L25" s="12"/>
      <c r="M25" s="12"/>
      <c r="N25" s="12"/>
      <c r="O25" s="17"/>
      <c r="P25" s="12"/>
    </row>
    <row r="26" spans="1:16" x14ac:dyDescent="0.3">
      <c r="A26" s="12"/>
      <c r="B26" s="12"/>
      <c r="C26" s="12"/>
      <c r="D26" s="12"/>
      <c r="E26" s="12"/>
      <c r="F26" s="12"/>
      <c r="G26" s="16" t="str">
        <f>IF(OR(F26="",N('Severity Scale'!$B$2)=0),"",F26/'Severity Scale'!$B$2)</f>
        <v/>
      </c>
      <c r="H26" s="12"/>
      <c r="I26" s="13" t="str">
        <f>IF(H26="","",IFERROR(INDEX('Severity Scale'!$B$5:$B$9,H26+1)&amp;" ("&amp;INDEX('Severity Scale'!$C$5:$C$9,H26+1)&amp;")",""))</f>
        <v/>
      </c>
      <c r="J26" s="12"/>
      <c r="K26" s="12"/>
      <c r="L26" s="12"/>
      <c r="M26" s="12"/>
      <c r="N26" s="12"/>
      <c r="O26" s="17"/>
      <c r="P26" s="12"/>
    </row>
    <row r="27" spans="1:16" x14ac:dyDescent="0.3">
      <c r="A27" s="12"/>
      <c r="B27" s="12"/>
      <c r="C27" s="12"/>
      <c r="D27" s="12"/>
      <c r="E27" s="12"/>
      <c r="F27" s="12"/>
      <c r="G27" s="16" t="str">
        <f>IF(OR(F27="",N('Severity Scale'!$B$2)=0),"",F27/'Severity Scale'!$B$2)</f>
        <v/>
      </c>
      <c r="H27" s="12"/>
      <c r="I27" s="13" t="str">
        <f>IF(H27="","",IFERROR(INDEX('Severity Scale'!$B$5:$B$9,H27+1)&amp;" ("&amp;INDEX('Severity Scale'!$C$5:$C$9,H27+1)&amp;")",""))</f>
        <v/>
      </c>
      <c r="J27" s="12"/>
      <c r="K27" s="12"/>
      <c r="L27" s="12"/>
      <c r="M27" s="12"/>
      <c r="N27" s="12"/>
      <c r="O27" s="17"/>
      <c r="P27" s="12"/>
    </row>
    <row r="28" spans="1:16" x14ac:dyDescent="0.3">
      <c r="A28" s="12"/>
      <c r="B28" s="12"/>
      <c r="C28" s="12"/>
      <c r="D28" s="12"/>
      <c r="E28" s="12"/>
      <c r="F28" s="12"/>
      <c r="G28" s="16" t="str">
        <f>IF(OR(F28="",N('Severity Scale'!$B$2)=0),"",F28/'Severity Scale'!$B$2)</f>
        <v/>
      </c>
      <c r="H28" s="12"/>
      <c r="I28" s="13" t="str">
        <f>IF(H28="","",IFERROR(INDEX('Severity Scale'!$B$5:$B$9,H28+1)&amp;" ("&amp;INDEX('Severity Scale'!$C$5:$C$9,H28+1)&amp;")",""))</f>
        <v/>
      </c>
      <c r="J28" s="12"/>
      <c r="K28" s="12"/>
      <c r="L28" s="12"/>
      <c r="M28" s="12"/>
      <c r="N28" s="12"/>
      <c r="O28" s="17"/>
      <c r="P28" s="12"/>
    </row>
    <row r="29" spans="1:16" x14ac:dyDescent="0.3">
      <c r="A29" s="12"/>
      <c r="B29" s="12"/>
      <c r="C29" s="12"/>
      <c r="D29" s="12"/>
      <c r="E29" s="12"/>
      <c r="F29" s="12"/>
      <c r="G29" s="16" t="str">
        <f>IF(OR(F29="",N('Severity Scale'!$B$2)=0),"",F29/'Severity Scale'!$B$2)</f>
        <v/>
      </c>
      <c r="H29" s="12"/>
      <c r="I29" s="13" t="str">
        <f>IF(H29="","",IFERROR(INDEX('Severity Scale'!$B$5:$B$9,H29+1)&amp;" ("&amp;INDEX('Severity Scale'!$C$5:$C$9,H29+1)&amp;")",""))</f>
        <v/>
      </c>
      <c r="J29" s="12"/>
      <c r="K29" s="12"/>
      <c r="L29" s="12"/>
      <c r="M29" s="12"/>
      <c r="N29" s="12"/>
      <c r="O29" s="17"/>
      <c r="P29" s="12"/>
    </row>
    <row r="30" spans="1:16" x14ac:dyDescent="0.3">
      <c r="A30" s="12"/>
      <c r="B30" s="12"/>
      <c r="C30" s="12"/>
      <c r="D30" s="12"/>
      <c r="E30" s="12"/>
      <c r="F30" s="12"/>
      <c r="G30" s="16" t="str">
        <f>IF(OR(F30="",N('Severity Scale'!$B$2)=0),"",F30/'Severity Scale'!$B$2)</f>
        <v/>
      </c>
      <c r="H30" s="12"/>
      <c r="I30" s="13" t="str">
        <f>IF(H30="","",IFERROR(INDEX('Severity Scale'!$B$5:$B$9,H30+1)&amp;" ("&amp;INDEX('Severity Scale'!$C$5:$C$9,H30+1)&amp;")",""))</f>
        <v/>
      </c>
      <c r="J30" s="12"/>
      <c r="K30" s="12"/>
      <c r="L30" s="12"/>
      <c r="M30" s="12"/>
      <c r="N30" s="12"/>
      <c r="O30" s="17"/>
      <c r="P30" s="12"/>
    </row>
    <row r="31" spans="1:16" x14ac:dyDescent="0.3">
      <c r="A31" s="12"/>
      <c r="B31" s="12"/>
      <c r="C31" s="12"/>
      <c r="D31" s="12"/>
      <c r="E31" s="12"/>
      <c r="F31" s="12"/>
      <c r="G31" s="16" t="str">
        <f>IF(OR(F31="",N('Severity Scale'!$B$2)=0),"",F31/'Severity Scale'!$B$2)</f>
        <v/>
      </c>
      <c r="H31" s="12"/>
      <c r="I31" s="13" t="str">
        <f>IF(H31="","",IFERROR(INDEX('Severity Scale'!$B$5:$B$9,H31+1)&amp;" ("&amp;INDEX('Severity Scale'!$C$5:$C$9,H31+1)&amp;")",""))</f>
        <v/>
      </c>
      <c r="J31" s="12"/>
      <c r="K31" s="12"/>
      <c r="L31" s="12"/>
      <c r="M31" s="12"/>
      <c r="N31" s="12"/>
      <c r="O31" s="17"/>
      <c r="P31" s="12"/>
    </row>
    <row r="32" spans="1:16" x14ac:dyDescent="0.3">
      <c r="A32" s="12"/>
      <c r="B32" s="12"/>
      <c r="C32" s="12"/>
      <c r="D32" s="12"/>
      <c r="E32" s="12"/>
      <c r="F32" s="12"/>
      <c r="G32" s="16" t="str">
        <f>IF(OR(F32="",N('Severity Scale'!$B$2)=0),"",F32/'Severity Scale'!$B$2)</f>
        <v/>
      </c>
      <c r="H32" s="12"/>
      <c r="I32" s="13" t="str">
        <f>IF(H32="","",IFERROR(INDEX('Severity Scale'!$B$5:$B$9,H32+1)&amp;" ("&amp;INDEX('Severity Scale'!$C$5:$C$9,H32+1)&amp;")",""))</f>
        <v/>
      </c>
      <c r="J32" s="12"/>
      <c r="K32" s="12"/>
      <c r="L32" s="12"/>
      <c r="M32" s="12"/>
      <c r="N32" s="12"/>
      <c r="O32" s="17"/>
      <c r="P32" s="12"/>
    </row>
    <row r="33" spans="1:16" x14ac:dyDescent="0.3">
      <c r="A33" s="12"/>
      <c r="B33" s="12"/>
      <c r="C33" s="12"/>
      <c r="D33" s="12"/>
      <c r="E33" s="12"/>
      <c r="F33" s="12"/>
      <c r="G33" s="16" t="str">
        <f>IF(OR(F33="",N('Severity Scale'!$B$2)=0),"",F33/'Severity Scale'!$B$2)</f>
        <v/>
      </c>
      <c r="H33" s="12"/>
      <c r="I33" s="13" t="str">
        <f>IF(H33="","",IFERROR(INDEX('Severity Scale'!$B$5:$B$9,H33+1)&amp;" ("&amp;INDEX('Severity Scale'!$C$5:$C$9,H33+1)&amp;")",""))</f>
        <v/>
      </c>
      <c r="J33" s="12"/>
      <c r="K33" s="12"/>
      <c r="L33" s="12"/>
      <c r="M33" s="12"/>
      <c r="N33" s="12"/>
      <c r="O33" s="17"/>
      <c r="P33" s="12"/>
    </row>
    <row r="34" spans="1:16" x14ac:dyDescent="0.3">
      <c r="A34" s="12"/>
      <c r="B34" s="12"/>
      <c r="C34" s="12"/>
      <c r="D34" s="12"/>
      <c r="E34" s="12"/>
      <c r="F34" s="12"/>
      <c r="G34" s="16" t="str">
        <f>IF(OR(F34="",N('Severity Scale'!$B$2)=0),"",F34/'Severity Scale'!$B$2)</f>
        <v/>
      </c>
      <c r="H34" s="12"/>
      <c r="I34" s="13" t="str">
        <f>IF(H34="","",IFERROR(INDEX('Severity Scale'!$B$5:$B$9,H34+1)&amp;" ("&amp;INDEX('Severity Scale'!$C$5:$C$9,H34+1)&amp;")",""))</f>
        <v/>
      </c>
      <c r="J34" s="12"/>
      <c r="K34" s="12"/>
      <c r="L34" s="12"/>
      <c r="M34" s="12"/>
      <c r="N34" s="12"/>
      <c r="O34" s="17"/>
      <c r="P34" s="12"/>
    </row>
    <row r="35" spans="1:16" x14ac:dyDescent="0.3">
      <c r="A35" s="12"/>
      <c r="B35" s="12"/>
      <c r="C35" s="12"/>
      <c r="D35" s="12"/>
      <c r="E35" s="12"/>
      <c r="F35" s="12"/>
      <c r="G35" s="16" t="str">
        <f>IF(OR(F35="",N('Severity Scale'!$B$2)=0),"",F35/'Severity Scale'!$B$2)</f>
        <v/>
      </c>
      <c r="H35" s="12"/>
      <c r="I35" s="13" t="str">
        <f>IF(H35="","",IFERROR(INDEX('Severity Scale'!$B$5:$B$9,H35+1)&amp;" ("&amp;INDEX('Severity Scale'!$C$5:$C$9,H35+1)&amp;")",""))</f>
        <v/>
      </c>
      <c r="J35" s="12"/>
      <c r="K35" s="12"/>
      <c r="L35" s="12"/>
      <c r="M35" s="12"/>
      <c r="N35" s="12"/>
      <c r="O35" s="17"/>
      <c r="P35" s="12"/>
    </row>
    <row r="36" spans="1:16" x14ac:dyDescent="0.3">
      <c r="A36" s="12"/>
      <c r="B36" s="12"/>
      <c r="C36" s="12"/>
      <c r="D36" s="12"/>
      <c r="E36" s="12"/>
      <c r="F36" s="12"/>
      <c r="G36" s="16" t="str">
        <f>IF(OR(F36="",N('Severity Scale'!$B$2)=0),"",F36/'Severity Scale'!$B$2)</f>
        <v/>
      </c>
      <c r="H36" s="12"/>
      <c r="I36" s="13" t="str">
        <f>IF(H36="","",IFERROR(INDEX('Severity Scale'!$B$5:$B$9,H36+1)&amp;" ("&amp;INDEX('Severity Scale'!$C$5:$C$9,H36+1)&amp;")",""))</f>
        <v/>
      </c>
      <c r="J36" s="12"/>
      <c r="K36" s="12"/>
      <c r="L36" s="12"/>
      <c r="M36" s="12"/>
      <c r="N36" s="12"/>
      <c r="O36" s="17"/>
      <c r="P36" s="12"/>
    </row>
    <row r="37" spans="1:16" x14ac:dyDescent="0.3">
      <c r="A37" s="12"/>
      <c r="B37" s="12"/>
      <c r="C37" s="12"/>
      <c r="D37" s="12"/>
      <c r="E37" s="12"/>
      <c r="F37" s="12"/>
      <c r="G37" s="16" t="str">
        <f>IF(OR(F37="",N('Severity Scale'!$B$2)=0),"",F37/'Severity Scale'!$B$2)</f>
        <v/>
      </c>
      <c r="H37" s="12"/>
      <c r="I37" s="13" t="str">
        <f>IF(H37="","",IFERROR(INDEX('Severity Scale'!$B$5:$B$9,H37+1)&amp;" ("&amp;INDEX('Severity Scale'!$C$5:$C$9,H37+1)&amp;")",""))</f>
        <v/>
      </c>
      <c r="J37" s="12"/>
      <c r="K37" s="12"/>
      <c r="L37" s="12"/>
      <c r="M37" s="12"/>
      <c r="N37" s="12"/>
      <c r="O37" s="17"/>
      <c r="P37" s="12"/>
    </row>
    <row r="38" spans="1:16" x14ac:dyDescent="0.3">
      <c r="A38" s="12"/>
      <c r="B38" s="12"/>
      <c r="C38" s="12"/>
      <c r="D38" s="12"/>
      <c r="E38" s="12"/>
      <c r="F38" s="12"/>
      <c r="G38" s="16" t="str">
        <f>IF(OR(F38="",N('Severity Scale'!$B$2)=0),"",F38/'Severity Scale'!$B$2)</f>
        <v/>
      </c>
      <c r="H38" s="12"/>
      <c r="I38" s="13" t="str">
        <f>IF(H38="","",IFERROR(INDEX('Severity Scale'!$B$5:$B$9,H38+1)&amp;" ("&amp;INDEX('Severity Scale'!$C$5:$C$9,H38+1)&amp;")",""))</f>
        <v/>
      </c>
      <c r="J38" s="12"/>
      <c r="K38" s="12"/>
      <c r="L38" s="12"/>
      <c r="M38" s="12"/>
      <c r="N38" s="12"/>
      <c r="O38" s="17"/>
      <c r="P38" s="12"/>
    </row>
    <row r="39" spans="1:16" x14ac:dyDescent="0.3">
      <c r="A39" s="12"/>
      <c r="B39" s="12"/>
      <c r="C39" s="12"/>
      <c r="D39" s="12"/>
      <c r="E39" s="12"/>
      <c r="F39" s="12"/>
      <c r="G39" s="16" t="str">
        <f>IF(OR(F39="",N('Severity Scale'!$B$2)=0),"",F39/'Severity Scale'!$B$2)</f>
        <v/>
      </c>
      <c r="H39" s="12"/>
      <c r="I39" s="13" t="str">
        <f>IF(H39="","",IFERROR(INDEX('Severity Scale'!$B$5:$B$9,H39+1)&amp;" ("&amp;INDEX('Severity Scale'!$C$5:$C$9,H39+1)&amp;")",""))</f>
        <v/>
      </c>
      <c r="J39" s="12"/>
      <c r="K39" s="12"/>
      <c r="L39" s="12"/>
      <c r="M39" s="12"/>
      <c r="N39" s="12"/>
      <c r="O39" s="17"/>
      <c r="P39" s="12"/>
    </row>
    <row r="40" spans="1:16" x14ac:dyDescent="0.3">
      <c r="A40" s="12"/>
      <c r="B40" s="12"/>
      <c r="C40" s="12"/>
      <c r="D40" s="12"/>
      <c r="E40" s="12"/>
      <c r="F40" s="12"/>
      <c r="G40" s="16" t="str">
        <f>IF(OR(F40="",N('Severity Scale'!$B$2)=0),"",F40/'Severity Scale'!$B$2)</f>
        <v/>
      </c>
      <c r="H40" s="12"/>
      <c r="I40" s="13" t="str">
        <f>IF(H40="","",IFERROR(INDEX('Severity Scale'!$B$5:$B$9,H40+1)&amp;" ("&amp;INDEX('Severity Scale'!$C$5:$C$9,H40+1)&amp;")",""))</f>
        <v/>
      </c>
      <c r="J40" s="12"/>
      <c r="K40" s="12"/>
      <c r="L40" s="12"/>
      <c r="M40" s="12"/>
      <c r="N40" s="12"/>
      <c r="O40" s="17"/>
      <c r="P40" s="12"/>
    </row>
    <row r="41" spans="1:16" x14ac:dyDescent="0.3">
      <c r="A41" s="12"/>
      <c r="B41" s="12"/>
      <c r="C41" s="12"/>
      <c r="D41" s="12"/>
      <c r="E41" s="12"/>
      <c r="F41" s="12"/>
      <c r="G41" s="16" t="str">
        <f>IF(OR(F41="",N('Severity Scale'!$B$2)=0),"",F41/'Severity Scale'!$B$2)</f>
        <v/>
      </c>
      <c r="H41" s="12"/>
      <c r="I41" s="13" t="str">
        <f>IF(H41="","",IFERROR(INDEX('Severity Scale'!$B$5:$B$9,H41+1)&amp;" ("&amp;INDEX('Severity Scale'!$C$5:$C$9,H41+1)&amp;")",""))</f>
        <v/>
      </c>
      <c r="J41" s="12"/>
      <c r="K41" s="12"/>
      <c r="L41" s="12"/>
      <c r="M41" s="12"/>
      <c r="N41" s="12"/>
      <c r="O41" s="17"/>
      <c r="P41" s="12"/>
    </row>
    <row r="42" spans="1:16" x14ac:dyDescent="0.3">
      <c r="A42" s="12"/>
      <c r="B42" s="12"/>
      <c r="C42" s="12"/>
      <c r="D42" s="12"/>
      <c r="E42" s="12"/>
      <c r="F42" s="12"/>
      <c r="G42" s="16" t="str">
        <f>IF(OR(F42="",N('Severity Scale'!$B$2)=0),"",F42/'Severity Scale'!$B$2)</f>
        <v/>
      </c>
      <c r="H42" s="12"/>
      <c r="I42" s="13" t="str">
        <f>IF(H42="","",IFERROR(INDEX('Severity Scale'!$B$5:$B$9,H42+1)&amp;" ("&amp;INDEX('Severity Scale'!$C$5:$C$9,H42+1)&amp;")",""))</f>
        <v/>
      </c>
      <c r="J42" s="12"/>
      <c r="K42" s="12"/>
      <c r="L42" s="12"/>
      <c r="M42" s="12"/>
      <c r="N42" s="12"/>
      <c r="O42" s="17"/>
      <c r="P42" s="12"/>
    </row>
    <row r="43" spans="1:16" x14ac:dyDescent="0.3">
      <c r="A43" s="12"/>
      <c r="B43" s="12"/>
      <c r="C43" s="12"/>
      <c r="D43" s="12"/>
      <c r="E43" s="12"/>
      <c r="F43" s="12"/>
      <c r="G43" s="16" t="str">
        <f>IF(OR(F43="",N('Severity Scale'!$B$2)=0),"",F43/'Severity Scale'!$B$2)</f>
        <v/>
      </c>
      <c r="H43" s="12"/>
      <c r="I43" s="13" t="str">
        <f>IF(H43="","",IFERROR(INDEX('Severity Scale'!$B$5:$B$9,H43+1)&amp;" ("&amp;INDEX('Severity Scale'!$C$5:$C$9,H43+1)&amp;")",""))</f>
        <v/>
      </c>
      <c r="J43" s="12"/>
      <c r="K43" s="12"/>
      <c r="L43" s="12"/>
      <c r="M43" s="12"/>
      <c r="N43" s="12"/>
      <c r="O43" s="17"/>
      <c r="P43" s="12"/>
    </row>
    <row r="44" spans="1:16" x14ac:dyDescent="0.3">
      <c r="A44" s="12"/>
      <c r="B44" s="12"/>
      <c r="C44" s="12"/>
      <c r="D44" s="12"/>
      <c r="E44" s="12"/>
      <c r="F44" s="12"/>
      <c r="G44" s="16" t="str">
        <f>IF(OR(F44="",N('Severity Scale'!$B$2)=0),"",F44/'Severity Scale'!$B$2)</f>
        <v/>
      </c>
      <c r="H44" s="12"/>
      <c r="I44" s="13" t="str">
        <f>IF(H44="","",IFERROR(INDEX('Severity Scale'!$B$5:$B$9,H44+1)&amp;" ("&amp;INDEX('Severity Scale'!$C$5:$C$9,H44+1)&amp;")",""))</f>
        <v/>
      </c>
      <c r="J44" s="12"/>
      <c r="K44" s="12"/>
      <c r="L44" s="12"/>
      <c r="M44" s="12"/>
      <c r="N44" s="12"/>
      <c r="O44" s="17"/>
      <c r="P44" s="12"/>
    </row>
    <row r="45" spans="1:16" x14ac:dyDescent="0.3">
      <c r="A45" s="12"/>
      <c r="B45" s="12"/>
      <c r="C45" s="12"/>
      <c r="D45" s="12"/>
      <c r="E45" s="12"/>
      <c r="F45" s="12"/>
      <c r="G45" s="16" t="str">
        <f>IF(OR(F45="",N('Severity Scale'!$B$2)=0),"",F45/'Severity Scale'!$B$2)</f>
        <v/>
      </c>
      <c r="H45" s="12"/>
      <c r="I45" s="13" t="str">
        <f>IF(H45="","",IFERROR(INDEX('Severity Scale'!$B$5:$B$9,H45+1)&amp;" ("&amp;INDEX('Severity Scale'!$C$5:$C$9,H45+1)&amp;")",""))</f>
        <v/>
      </c>
      <c r="J45" s="12"/>
      <c r="K45" s="12"/>
      <c r="L45" s="12"/>
      <c r="M45" s="12"/>
      <c r="N45" s="12"/>
      <c r="O45" s="17"/>
      <c r="P45" s="12"/>
    </row>
    <row r="46" spans="1:16" x14ac:dyDescent="0.3">
      <c r="A46" s="12"/>
      <c r="B46" s="12"/>
      <c r="C46" s="12"/>
      <c r="D46" s="12"/>
      <c r="E46" s="12"/>
      <c r="F46" s="12"/>
      <c r="G46" s="16" t="str">
        <f>IF(OR(F46="",N('Severity Scale'!$B$2)=0),"",F46/'Severity Scale'!$B$2)</f>
        <v/>
      </c>
      <c r="H46" s="12"/>
      <c r="I46" s="13" t="str">
        <f>IF(H46="","",IFERROR(INDEX('Severity Scale'!$B$5:$B$9,H46+1)&amp;" ("&amp;INDEX('Severity Scale'!$C$5:$C$9,H46+1)&amp;")",""))</f>
        <v/>
      </c>
      <c r="J46" s="12"/>
      <c r="K46" s="12"/>
      <c r="L46" s="12"/>
      <c r="M46" s="12"/>
      <c r="N46" s="12"/>
      <c r="O46" s="17"/>
      <c r="P46" s="12"/>
    </row>
    <row r="47" spans="1:16" x14ac:dyDescent="0.3">
      <c r="A47" s="12"/>
      <c r="B47" s="12"/>
      <c r="C47" s="12"/>
      <c r="D47" s="12"/>
      <c r="E47" s="12"/>
      <c r="F47" s="12"/>
      <c r="G47" s="16" t="str">
        <f>IF(OR(F47="",N('Severity Scale'!$B$2)=0),"",F47/'Severity Scale'!$B$2)</f>
        <v/>
      </c>
      <c r="H47" s="12"/>
      <c r="I47" s="13" t="str">
        <f>IF(H47="","",IFERROR(INDEX('Severity Scale'!$B$5:$B$9,H47+1)&amp;" ("&amp;INDEX('Severity Scale'!$C$5:$C$9,H47+1)&amp;")",""))</f>
        <v/>
      </c>
      <c r="J47" s="12"/>
      <c r="K47" s="12"/>
      <c r="L47" s="12"/>
      <c r="M47" s="12"/>
      <c r="N47" s="12"/>
      <c r="O47" s="17"/>
      <c r="P47" s="12"/>
    </row>
    <row r="48" spans="1:16" x14ac:dyDescent="0.3">
      <c r="A48" s="12"/>
      <c r="B48" s="12"/>
      <c r="C48" s="12"/>
      <c r="D48" s="12"/>
      <c r="E48" s="12"/>
      <c r="F48" s="12"/>
      <c r="G48" s="16" t="str">
        <f>IF(OR(F48="",N('Severity Scale'!$B$2)=0),"",F48/'Severity Scale'!$B$2)</f>
        <v/>
      </c>
      <c r="H48" s="12"/>
      <c r="I48" s="13" t="str">
        <f>IF(H48="","",IFERROR(INDEX('Severity Scale'!$B$5:$B$9,H48+1)&amp;" ("&amp;INDEX('Severity Scale'!$C$5:$C$9,H48+1)&amp;")",""))</f>
        <v/>
      </c>
      <c r="J48" s="12"/>
      <c r="K48" s="12"/>
      <c r="L48" s="12"/>
      <c r="M48" s="12"/>
      <c r="N48" s="12"/>
      <c r="O48" s="17"/>
      <c r="P48" s="12"/>
    </row>
    <row r="49" spans="1:16" x14ac:dyDescent="0.3">
      <c r="A49" s="12"/>
      <c r="B49" s="12"/>
      <c r="C49" s="12"/>
      <c r="D49" s="12"/>
      <c r="E49" s="12"/>
      <c r="F49" s="12"/>
      <c r="G49" s="16" t="str">
        <f>IF(OR(F49="",N('Severity Scale'!$B$2)=0),"",F49/'Severity Scale'!$B$2)</f>
        <v/>
      </c>
      <c r="H49" s="12"/>
      <c r="I49" s="13" t="str">
        <f>IF(H49="","",IFERROR(INDEX('Severity Scale'!$B$5:$B$9,H49+1)&amp;" ("&amp;INDEX('Severity Scale'!$C$5:$C$9,H49+1)&amp;")",""))</f>
        <v/>
      </c>
      <c r="J49" s="12"/>
      <c r="K49" s="12"/>
      <c r="L49" s="12"/>
      <c r="M49" s="12"/>
      <c r="N49" s="12"/>
      <c r="O49" s="17"/>
      <c r="P49" s="12"/>
    </row>
    <row r="50" spans="1:16" x14ac:dyDescent="0.3">
      <c r="A50" s="12"/>
      <c r="B50" s="12"/>
      <c r="C50" s="12"/>
      <c r="D50" s="12"/>
      <c r="E50" s="12"/>
      <c r="F50" s="12"/>
      <c r="G50" s="16" t="str">
        <f>IF(OR(F50="",N('Severity Scale'!$B$2)=0),"",F50/'Severity Scale'!$B$2)</f>
        <v/>
      </c>
      <c r="H50" s="12"/>
      <c r="I50" s="13" t="str">
        <f>IF(H50="","",IFERROR(INDEX('Severity Scale'!$B$5:$B$9,H50+1)&amp;" ("&amp;INDEX('Severity Scale'!$C$5:$C$9,H50+1)&amp;")",""))</f>
        <v/>
      </c>
      <c r="J50" s="12"/>
      <c r="K50" s="12"/>
      <c r="L50" s="12"/>
      <c r="M50" s="12"/>
      <c r="N50" s="12"/>
      <c r="O50" s="17"/>
      <c r="P50" s="12"/>
    </row>
    <row r="51" spans="1:16" x14ac:dyDescent="0.3">
      <c r="A51" s="12"/>
      <c r="B51" s="12"/>
      <c r="C51" s="12"/>
      <c r="D51" s="12"/>
      <c r="E51" s="12"/>
      <c r="F51" s="12"/>
      <c r="G51" s="16" t="str">
        <f>IF(OR(F51="",N('Severity Scale'!$B$2)=0),"",F51/'Severity Scale'!$B$2)</f>
        <v/>
      </c>
      <c r="H51" s="12"/>
      <c r="I51" s="13" t="str">
        <f>IF(H51="","",IFERROR(INDEX('Severity Scale'!$B$5:$B$9,H51+1)&amp;" ("&amp;INDEX('Severity Scale'!$C$5:$C$9,H51+1)&amp;")",""))</f>
        <v/>
      </c>
      <c r="J51" s="12"/>
      <c r="K51" s="12"/>
      <c r="L51" s="12"/>
      <c r="M51" s="12"/>
      <c r="N51" s="12"/>
      <c r="O51" s="17"/>
      <c r="P51" s="12"/>
    </row>
    <row r="52" spans="1:16" x14ac:dyDescent="0.3">
      <c r="A52" s="12"/>
      <c r="B52" s="12"/>
      <c r="C52" s="12"/>
      <c r="D52" s="12"/>
      <c r="E52" s="12"/>
      <c r="F52" s="12"/>
      <c r="G52" s="16" t="str">
        <f>IF(OR(F52="",N('Severity Scale'!$B$2)=0),"",F52/'Severity Scale'!$B$2)</f>
        <v/>
      </c>
      <c r="H52" s="12"/>
      <c r="I52" s="13" t="str">
        <f>IF(H52="","",IFERROR(INDEX('Severity Scale'!$B$5:$B$9,H52+1)&amp;" ("&amp;INDEX('Severity Scale'!$C$5:$C$9,H52+1)&amp;")",""))</f>
        <v/>
      </c>
      <c r="J52" s="12"/>
      <c r="K52" s="12"/>
      <c r="L52" s="12"/>
      <c r="M52" s="12"/>
      <c r="N52" s="12"/>
      <c r="O52" s="17"/>
      <c r="P52" s="12"/>
    </row>
    <row r="53" spans="1:16" x14ac:dyDescent="0.3">
      <c r="A53" s="12"/>
      <c r="B53" s="12"/>
      <c r="C53" s="12"/>
      <c r="D53" s="12"/>
      <c r="E53" s="12"/>
      <c r="F53" s="12"/>
      <c r="G53" s="16" t="str">
        <f>IF(OR(F53="",N('Severity Scale'!$B$2)=0),"",F53/'Severity Scale'!$B$2)</f>
        <v/>
      </c>
      <c r="H53" s="12"/>
      <c r="I53" s="13" t="str">
        <f>IF(H53="","",IFERROR(INDEX('Severity Scale'!$B$5:$B$9,H53+1)&amp;" ("&amp;INDEX('Severity Scale'!$C$5:$C$9,H53+1)&amp;")",""))</f>
        <v/>
      </c>
      <c r="J53" s="12"/>
      <c r="K53" s="12"/>
      <c r="L53" s="12"/>
      <c r="M53" s="12"/>
      <c r="N53" s="12"/>
      <c r="O53" s="17"/>
      <c r="P53" s="12"/>
    </row>
    <row r="54" spans="1:16" x14ac:dyDescent="0.3">
      <c r="A54" s="12"/>
      <c r="B54" s="12"/>
      <c r="C54" s="12"/>
      <c r="D54" s="12"/>
      <c r="E54" s="12"/>
      <c r="F54" s="12"/>
      <c r="G54" s="16" t="str">
        <f>IF(OR(F54="",N('Severity Scale'!$B$2)=0),"",F54/'Severity Scale'!$B$2)</f>
        <v/>
      </c>
      <c r="H54" s="12"/>
      <c r="I54" s="13" t="str">
        <f>IF(H54="","",IFERROR(INDEX('Severity Scale'!$B$5:$B$9,H54+1)&amp;" ("&amp;INDEX('Severity Scale'!$C$5:$C$9,H54+1)&amp;")",""))</f>
        <v/>
      </c>
      <c r="J54" s="12"/>
      <c r="K54" s="12"/>
      <c r="L54" s="12"/>
      <c r="M54" s="12"/>
      <c r="N54" s="12"/>
      <c r="O54" s="17"/>
      <c r="P54" s="12"/>
    </row>
    <row r="55" spans="1:16" x14ac:dyDescent="0.3">
      <c r="A55" s="12"/>
      <c r="B55" s="12"/>
      <c r="C55" s="12"/>
      <c r="D55" s="12"/>
      <c r="E55" s="12"/>
      <c r="F55" s="12"/>
      <c r="G55" s="16" t="str">
        <f>IF(OR(F55="",N('Severity Scale'!$B$2)=0),"",F55/'Severity Scale'!$B$2)</f>
        <v/>
      </c>
      <c r="H55" s="12"/>
      <c r="I55" s="13" t="str">
        <f>IF(H55="","",IFERROR(INDEX('Severity Scale'!$B$5:$B$9,H55+1)&amp;" ("&amp;INDEX('Severity Scale'!$C$5:$C$9,H55+1)&amp;")",""))</f>
        <v/>
      </c>
      <c r="J55" s="12"/>
      <c r="K55" s="12"/>
      <c r="L55" s="12"/>
      <c r="M55" s="12"/>
      <c r="N55" s="12"/>
      <c r="O55" s="17"/>
      <c r="P55" s="12"/>
    </row>
    <row r="56" spans="1:16" x14ac:dyDescent="0.3">
      <c r="A56" s="12"/>
      <c r="B56" s="12"/>
      <c r="C56" s="12"/>
      <c r="D56" s="12"/>
      <c r="E56" s="12"/>
      <c r="F56" s="12"/>
      <c r="G56" s="16" t="str">
        <f>IF(OR(F56="",N('Severity Scale'!$B$2)=0),"",F56/'Severity Scale'!$B$2)</f>
        <v/>
      </c>
      <c r="H56" s="12"/>
      <c r="I56" s="13" t="str">
        <f>IF(H56="","",IFERROR(INDEX('Severity Scale'!$B$5:$B$9,H56+1)&amp;" ("&amp;INDEX('Severity Scale'!$C$5:$C$9,H56+1)&amp;")",""))</f>
        <v/>
      </c>
      <c r="J56" s="12"/>
      <c r="K56" s="12"/>
      <c r="L56" s="12"/>
      <c r="M56" s="12"/>
      <c r="N56" s="12"/>
      <c r="O56" s="17"/>
      <c r="P56" s="12"/>
    </row>
    <row r="57" spans="1:16" x14ac:dyDescent="0.3">
      <c r="A57" s="12"/>
      <c r="B57" s="12"/>
      <c r="C57" s="12"/>
      <c r="D57" s="12"/>
      <c r="E57" s="12"/>
      <c r="F57" s="12"/>
      <c r="G57" s="16" t="str">
        <f>IF(OR(F57="",N('Severity Scale'!$B$2)=0),"",F57/'Severity Scale'!$B$2)</f>
        <v/>
      </c>
      <c r="H57" s="12"/>
      <c r="I57" s="13" t="str">
        <f>IF(H57="","",IFERROR(INDEX('Severity Scale'!$B$5:$B$9,H57+1)&amp;" ("&amp;INDEX('Severity Scale'!$C$5:$C$9,H57+1)&amp;")",""))</f>
        <v/>
      </c>
      <c r="J57" s="12"/>
      <c r="K57" s="12"/>
      <c r="L57" s="12"/>
      <c r="M57" s="12"/>
      <c r="N57" s="12"/>
      <c r="O57" s="17"/>
      <c r="P57" s="12"/>
    </row>
    <row r="58" spans="1:16" x14ac:dyDescent="0.3">
      <c r="A58" s="12"/>
      <c r="B58" s="12"/>
      <c r="C58" s="12"/>
      <c r="D58" s="12"/>
      <c r="E58" s="12"/>
      <c r="F58" s="12"/>
      <c r="G58" s="16" t="str">
        <f>IF(OR(F58="",N('Severity Scale'!$B$2)=0),"",F58/'Severity Scale'!$B$2)</f>
        <v/>
      </c>
      <c r="H58" s="12"/>
      <c r="I58" s="13" t="str">
        <f>IF(H58="","",IFERROR(INDEX('Severity Scale'!$B$5:$B$9,H58+1)&amp;" ("&amp;INDEX('Severity Scale'!$C$5:$C$9,H58+1)&amp;")",""))</f>
        <v/>
      </c>
      <c r="J58" s="12"/>
      <c r="K58" s="12"/>
      <c r="L58" s="12"/>
      <c r="M58" s="12"/>
      <c r="N58" s="12"/>
      <c r="O58" s="17"/>
      <c r="P58" s="12"/>
    </row>
    <row r="59" spans="1:16" x14ac:dyDescent="0.3">
      <c r="A59" s="12"/>
      <c r="B59" s="12"/>
      <c r="C59" s="12"/>
      <c r="D59" s="12"/>
      <c r="E59" s="12"/>
      <c r="F59" s="12"/>
      <c r="G59" s="16" t="str">
        <f>IF(OR(F59="",N('Severity Scale'!$B$2)=0),"",F59/'Severity Scale'!$B$2)</f>
        <v/>
      </c>
      <c r="H59" s="12"/>
      <c r="I59" s="13" t="str">
        <f>IF(H59="","",IFERROR(INDEX('Severity Scale'!$B$5:$B$9,H59+1)&amp;" ("&amp;INDEX('Severity Scale'!$C$5:$C$9,H59+1)&amp;")",""))</f>
        <v/>
      </c>
      <c r="J59" s="12"/>
      <c r="K59" s="12"/>
      <c r="L59" s="12"/>
      <c r="M59" s="12"/>
      <c r="N59" s="12"/>
      <c r="O59" s="17"/>
      <c r="P59" s="12"/>
    </row>
    <row r="60" spans="1:16" x14ac:dyDescent="0.3">
      <c r="A60" s="12"/>
      <c r="B60" s="12"/>
      <c r="C60" s="12"/>
      <c r="D60" s="12"/>
      <c r="E60" s="12"/>
      <c r="F60" s="12"/>
      <c r="G60" s="16" t="str">
        <f>IF(OR(F60="",N('Severity Scale'!$B$2)=0),"",F60/'Severity Scale'!$B$2)</f>
        <v/>
      </c>
      <c r="H60" s="12"/>
      <c r="I60" s="13" t="str">
        <f>IF(H60="","",IFERROR(INDEX('Severity Scale'!$B$5:$B$9,H60+1)&amp;" ("&amp;INDEX('Severity Scale'!$C$5:$C$9,H60+1)&amp;")",""))</f>
        <v/>
      </c>
      <c r="J60" s="12"/>
      <c r="K60" s="12"/>
      <c r="L60" s="12"/>
      <c r="M60" s="12"/>
      <c r="N60" s="12"/>
      <c r="O60" s="17"/>
      <c r="P60" s="12"/>
    </row>
    <row r="61" spans="1:16" x14ac:dyDescent="0.3">
      <c r="A61" s="12"/>
      <c r="B61" s="12"/>
      <c r="C61" s="12"/>
      <c r="D61" s="12"/>
      <c r="E61" s="12"/>
      <c r="F61" s="12"/>
      <c r="G61" s="16" t="str">
        <f>IF(OR(F61="",N('Severity Scale'!$B$2)=0),"",F61/'Severity Scale'!$B$2)</f>
        <v/>
      </c>
      <c r="H61" s="12"/>
      <c r="I61" s="13" t="str">
        <f>IF(H61="","",IFERROR(INDEX('Severity Scale'!$B$5:$B$9,H61+1)&amp;" ("&amp;INDEX('Severity Scale'!$C$5:$C$9,H61+1)&amp;")",""))</f>
        <v/>
      </c>
      <c r="J61" s="12"/>
      <c r="K61" s="12"/>
      <c r="L61" s="12"/>
      <c r="M61" s="12"/>
      <c r="N61" s="12"/>
      <c r="O61" s="17"/>
      <c r="P61" s="12"/>
    </row>
    <row r="62" spans="1:16" x14ac:dyDescent="0.3">
      <c r="A62" s="12"/>
      <c r="B62" s="12"/>
      <c r="C62" s="12"/>
      <c r="D62" s="12"/>
      <c r="E62" s="12"/>
      <c r="F62" s="12"/>
      <c r="G62" s="16" t="str">
        <f>IF(OR(F62="",N('Severity Scale'!$B$2)=0),"",F62/'Severity Scale'!$B$2)</f>
        <v/>
      </c>
      <c r="H62" s="12"/>
      <c r="I62" s="13" t="str">
        <f>IF(H62="","",IFERROR(INDEX('Severity Scale'!$B$5:$B$9,H62+1)&amp;" ("&amp;INDEX('Severity Scale'!$C$5:$C$9,H62+1)&amp;")",""))</f>
        <v/>
      </c>
      <c r="J62" s="12"/>
      <c r="K62" s="12"/>
      <c r="L62" s="12"/>
      <c r="M62" s="12"/>
      <c r="N62" s="12"/>
      <c r="O62" s="17"/>
      <c r="P62" s="12"/>
    </row>
    <row r="63" spans="1:16" x14ac:dyDescent="0.3">
      <c r="A63" s="12"/>
      <c r="B63" s="12"/>
      <c r="C63" s="12"/>
      <c r="D63" s="12"/>
      <c r="E63" s="12"/>
      <c r="F63" s="12"/>
      <c r="G63" s="16" t="str">
        <f>IF(OR(F63="",N('Severity Scale'!$B$2)=0),"",F63/'Severity Scale'!$B$2)</f>
        <v/>
      </c>
      <c r="H63" s="12"/>
      <c r="I63" s="13" t="str">
        <f>IF(H63="","",IFERROR(INDEX('Severity Scale'!$B$5:$B$9,H63+1)&amp;" ("&amp;INDEX('Severity Scale'!$C$5:$C$9,H63+1)&amp;")",""))</f>
        <v/>
      </c>
      <c r="J63" s="12"/>
      <c r="K63" s="12"/>
      <c r="L63" s="12"/>
      <c r="M63" s="12"/>
      <c r="N63" s="12"/>
      <c r="O63" s="17"/>
      <c r="P63" s="12"/>
    </row>
    <row r="64" spans="1:16" x14ac:dyDescent="0.3">
      <c r="A64" s="12"/>
      <c r="B64" s="12"/>
      <c r="C64" s="12"/>
      <c r="D64" s="12"/>
      <c r="E64" s="12"/>
      <c r="F64" s="12"/>
      <c r="G64" s="16" t="str">
        <f>IF(OR(F64="",N('Severity Scale'!$B$2)=0),"",F64/'Severity Scale'!$B$2)</f>
        <v/>
      </c>
      <c r="H64" s="12"/>
      <c r="I64" s="13" t="str">
        <f>IF(H64="","",IFERROR(INDEX('Severity Scale'!$B$5:$B$9,H64+1)&amp;" ("&amp;INDEX('Severity Scale'!$C$5:$C$9,H64+1)&amp;")",""))</f>
        <v/>
      </c>
      <c r="J64" s="12"/>
      <c r="K64" s="12"/>
      <c r="L64" s="12"/>
      <c r="M64" s="12"/>
      <c r="N64" s="12"/>
      <c r="O64" s="17"/>
      <c r="P64" s="12"/>
    </row>
    <row r="65" spans="1:16" x14ac:dyDescent="0.3">
      <c r="A65" s="12"/>
      <c r="B65" s="12"/>
      <c r="C65" s="12"/>
      <c r="D65" s="12"/>
      <c r="E65" s="12"/>
      <c r="F65" s="12"/>
      <c r="G65" s="16" t="str">
        <f>IF(OR(F65="",N('Severity Scale'!$B$2)=0),"",F65/'Severity Scale'!$B$2)</f>
        <v/>
      </c>
      <c r="H65" s="12"/>
      <c r="I65" s="13" t="str">
        <f>IF(H65="","",IFERROR(INDEX('Severity Scale'!$B$5:$B$9,H65+1)&amp;" ("&amp;INDEX('Severity Scale'!$C$5:$C$9,H65+1)&amp;")",""))</f>
        <v/>
      </c>
      <c r="J65" s="12"/>
      <c r="K65" s="12"/>
      <c r="L65" s="12"/>
      <c r="M65" s="12"/>
      <c r="N65" s="12"/>
      <c r="O65" s="17"/>
      <c r="P65" s="12"/>
    </row>
    <row r="66" spans="1:16" x14ac:dyDescent="0.3">
      <c r="A66" s="12"/>
      <c r="B66" s="12"/>
      <c r="C66" s="12"/>
      <c r="D66" s="12"/>
      <c r="E66" s="12"/>
      <c r="F66" s="12"/>
      <c r="G66" s="16" t="str">
        <f>IF(OR(F66="",N('Severity Scale'!$B$2)=0),"",F66/'Severity Scale'!$B$2)</f>
        <v/>
      </c>
      <c r="H66" s="12"/>
      <c r="I66" s="13" t="str">
        <f>IF(H66="","",IFERROR(INDEX('Severity Scale'!$B$5:$B$9,H66+1)&amp;" ("&amp;INDEX('Severity Scale'!$C$5:$C$9,H66+1)&amp;")",""))</f>
        <v/>
      </c>
      <c r="J66" s="12"/>
      <c r="K66" s="12"/>
      <c r="L66" s="12"/>
      <c r="M66" s="12"/>
      <c r="N66" s="12"/>
      <c r="O66" s="17"/>
      <c r="P66" s="12"/>
    </row>
    <row r="67" spans="1:16" x14ac:dyDescent="0.3">
      <c r="A67" s="12"/>
      <c r="B67" s="12"/>
      <c r="C67" s="12"/>
      <c r="D67" s="12"/>
      <c r="E67" s="12"/>
      <c r="F67" s="12"/>
      <c r="G67" s="16" t="str">
        <f>IF(OR(F67="",N('Severity Scale'!$B$2)=0),"",F67/'Severity Scale'!$B$2)</f>
        <v/>
      </c>
      <c r="H67" s="12"/>
      <c r="I67" s="13" t="str">
        <f>IF(H67="","",IFERROR(INDEX('Severity Scale'!$B$5:$B$9,H67+1)&amp;" ("&amp;INDEX('Severity Scale'!$C$5:$C$9,H67+1)&amp;")",""))</f>
        <v/>
      </c>
      <c r="J67" s="12"/>
      <c r="K67" s="12"/>
      <c r="L67" s="12"/>
      <c r="M67" s="12"/>
      <c r="N67" s="12"/>
      <c r="O67" s="17"/>
      <c r="P67" s="12"/>
    </row>
    <row r="68" spans="1:16" x14ac:dyDescent="0.3">
      <c r="A68" s="12"/>
      <c r="B68" s="12"/>
      <c r="C68" s="12"/>
      <c r="D68" s="12"/>
      <c r="E68" s="12"/>
      <c r="F68" s="12"/>
      <c r="G68" s="16" t="str">
        <f>IF(OR(F68="",N('Severity Scale'!$B$2)=0),"",F68/'Severity Scale'!$B$2)</f>
        <v/>
      </c>
      <c r="H68" s="12"/>
      <c r="I68" s="13" t="str">
        <f>IF(H68="","",IFERROR(INDEX('Severity Scale'!$B$5:$B$9,H68+1)&amp;" ("&amp;INDEX('Severity Scale'!$C$5:$C$9,H68+1)&amp;")",""))</f>
        <v/>
      </c>
      <c r="J68" s="12"/>
      <c r="K68" s="12"/>
      <c r="L68" s="12"/>
      <c r="M68" s="12"/>
      <c r="N68" s="12"/>
      <c r="O68" s="17"/>
      <c r="P68" s="12"/>
    </row>
    <row r="69" spans="1:16" x14ac:dyDescent="0.3">
      <c r="A69" s="12"/>
      <c r="B69" s="12"/>
      <c r="C69" s="12"/>
      <c r="D69" s="12"/>
      <c r="E69" s="12"/>
      <c r="F69" s="12"/>
      <c r="G69" s="16" t="str">
        <f>IF(OR(F69="",N('Severity Scale'!$B$2)=0),"",F69/'Severity Scale'!$B$2)</f>
        <v/>
      </c>
      <c r="H69" s="12"/>
      <c r="I69" s="13" t="str">
        <f>IF(H69="","",IFERROR(INDEX('Severity Scale'!$B$5:$B$9,H69+1)&amp;" ("&amp;INDEX('Severity Scale'!$C$5:$C$9,H69+1)&amp;")",""))</f>
        <v/>
      </c>
      <c r="J69" s="12"/>
      <c r="K69" s="12"/>
      <c r="L69" s="12"/>
      <c r="M69" s="12"/>
      <c r="N69" s="12"/>
      <c r="O69" s="17"/>
      <c r="P69" s="12"/>
    </row>
    <row r="70" spans="1:16" x14ac:dyDescent="0.3">
      <c r="A70" s="12"/>
      <c r="B70" s="12"/>
      <c r="C70" s="12"/>
      <c r="D70" s="12"/>
      <c r="E70" s="12"/>
      <c r="F70" s="12"/>
      <c r="G70" s="16" t="str">
        <f>IF(OR(F70="",N('Severity Scale'!$B$2)=0),"",F70/'Severity Scale'!$B$2)</f>
        <v/>
      </c>
      <c r="H70" s="12"/>
      <c r="I70" s="13" t="str">
        <f>IF(H70="","",IFERROR(INDEX('Severity Scale'!$B$5:$B$9,H70+1)&amp;" ("&amp;INDEX('Severity Scale'!$C$5:$C$9,H70+1)&amp;")",""))</f>
        <v/>
      </c>
      <c r="J70" s="12"/>
      <c r="K70" s="12"/>
      <c r="L70" s="12"/>
      <c r="M70" s="12"/>
      <c r="N70" s="12"/>
      <c r="O70" s="17"/>
      <c r="P70" s="12"/>
    </row>
    <row r="71" spans="1:16" x14ac:dyDescent="0.3">
      <c r="A71" s="12"/>
      <c r="B71" s="12"/>
      <c r="C71" s="12"/>
      <c r="D71" s="12"/>
      <c r="E71" s="12"/>
      <c r="F71" s="12"/>
      <c r="G71" s="16" t="str">
        <f>IF(OR(F71="",N('Severity Scale'!$B$2)=0),"",F71/'Severity Scale'!$B$2)</f>
        <v/>
      </c>
      <c r="H71" s="12"/>
      <c r="I71" s="13" t="str">
        <f>IF(H71="","",IFERROR(INDEX('Severity Scale'!$B$5:$B$9,H71+1)&amp;" ("&amp;INDEX('Severity Scale'!$C$5:$C$9,H71+1)&amp;")",""))</f>
        <v/>
      </c>
      <c r="J71" s="12"/>
      <c r="K71" s="12"/>
      <c r="L71" s="12"/>
      <c r="M71" s="12"/>
      <c r="N71" s="12"/>
      <c r="O71" s="17"/>
      <c r="P71" s="12"/>
    </row>
    <row r="72" spans="1:16" x14ac:dyDescent="0.3">
      <c r="A72" s="12"/>
      <c r="B72" s="12"/>
      <c r="C72" s="12"/>
      <c r="D72" s="12"/>
      <c r="E72" s="12"/>
      <c r="F72" s="12"/>
      <c r="G72" s="16" t="str">
        <f>IF(OR(F72="",N('Severity Scale'!$B$2)=0),"",F72/'Severity Scale'!$B$2)</f>
        <v/>
      </c>
      <c r="H72" s="12"/>
      <c r="I72" s="13" t="str">
        <f>IF(H72="","",IFERROR(INDEX('Severity Scale'!$B$5:$B$9,H72+1)&amp;" ("&amp;INDEX('Severity Scale'!$C$5:$C$9,H72+1)&amp;")",""))</f>
        <v/>
      </c>
      <c r="J72" s="12"/>
      <c r="K72" s="12"/>
      <c r="L72" s="12"/>
      <c r="M72" s="12"/>
      <c r="N72" s="12"/>
      <c r="O72" s="17"/>
      <c r="P72" s="12"/>
    </row>
    <row r="73" spans="1:16" x14ac:dyDescent="0.3">
      <c r="A73" s="12"/>
      <c r="B73" s="12"/>
      <c r="C73" s="12"/>
      <c r="D73" s="12"/>
      <c r="E73" s="12"/>
      <c r="F73" s="12"/>
      <c r="G73" s="16" t="str">
        <f>IF(OR(F73="",N('Severity Scale'!$B$2)=0),"",F73/'Severity Scale'!$B$2)</f>
        <v/>
      </c>
      <c r="H73" s="12"/>
      <c r="I73" s="13" t="str">
        <f>IF(H73="","",IFERROR(INDEX('Severity Scale'!$B$5:$B$9,H73+1)&amp;" ("&amp;INDEX('Severity Scale'!$C$5:$C$9,H73+1)&amp;")",""))</f>
        <v/>
      </c>
      <c r="J73" s="12"/>
      <c r="K73" s="12"/>
      <c r="L73" s="12"/>
      <c r="M73" s="12"/>
      <c r="N73" s="12"/>
      <c r="O73" s="17"/>
      <c r="P73" s="12"/>
    </row>
    <row r="74" spans="1:16" x14ac:dyDescent="0.3">
      <c r="A74" s="12"/>
      <c r="B74" s="12"/>
      <c r="C74" s="12"/>
      <c r="D74" s="12"/>
      <c r="E74" s="12"/>
      <c r="F74" s="12"/>
      <c r="G74" s="16" t="str">
        <f>IF(OR(F74="",N('Severity Scale'!$B$2)=0),"",F74/'Severity Scale'!$B$2)</f>
        <v/>
      </c>
      <c r="H74" s="12"/>
      <c r="I74" s="13" t="str">
        <f>IF(H74="","",IFERROR(INDEX('Severity Scale'!$B$5:$B$9,H74+1)&amp;" ("&amp;INDEX('Severity Scale'!$C$5:$C$9,H74+1)&amp;")",""))</f>
        <v/>
      </c>
      <c r="J74" s="12"/>
      <c r="K74" s="12"/>
      <c r="L74" s="12"/>
      <c r="M74" s="12"/>
      <c r="N74" s="12"/>
      <c r="O74" s="17"/>
      <c r="P74" s="12"/>
    </row>
    <row r="75" spans="1:16" x14ac:dyDescent="0.3">
      <c r="A75" s="12"/>
      <c r="B75" s="12"/>
      <c r="C75" s="12"/>
      <c r="D75" s="12"/>
      <c r="E75" s="12"/>
      <c r="F75" s="12"/>
      <c r="G75" s="16" t="str">
        <f>IF(OR(F75="",N('Severity Scale'!$B$2)=0),"",F75/'Severity Scale'!$B$2)</f>
        <v/>
      </c>
      <c r="H75" s="12"/>
      <c r="I75" s="13" t="str">
        <f>IF(H75="","",IFERROR(INDEX('Severity Scale'!$B$5:$B$9,H75+1)&amp;" ("&amp;INDEX('Severity Scale'!$C$5:$C$9,H75+1)&amp;")",""))</f>
        <v/>
      </c>
      <c r="J75" s="12"/>
      <c r="K75" s="12"/>
      <c r="L75" s="12"/>
      <c r="M75" s="12"/>
      <c r="N75" s="12"/>
      <c r="O75" s="17"/>
      <c r="P75" s="12"/>
    </row>
    <row r="76" spans="1:16" x14ac:dyDescent="0.3">
      <c r="A76" s="12"/>
      <c r="B76" s="12"/>
      <c r="C76" s="12"/>
      <c r="D76" s="12"/>
      <c r="E76" s="12"/>
      <c r="F76" s="12"/>
      <c r="G76" s="16" t="str">
        <f>IF(OR(F76="",N('Severity Scale'!$B$2)=0),"",F76/'Severity Scale'!$B$2)</f>
        <v/>
      </c>
      <c r="H76" s="12"/>
      <c r="I76" s="13" t="str">
        <f>IF(H76="","",IFERROR(INDEX('Severity Scale'!$B$5:$B$9,H76+1)&amp;" ("&amp;INDEX('Severity Scale'!$C$5:$C$9,H76+1)&amp;")",""))</f>
        <v/>
      </c>
      <c r="J76" s="12"/>
      <c r="K76" s="12"/>
      <c r="L76" s="12"/>
      <c r="M76" s="12"/>
      <c r="N76" s="12"/>
      <c r="O76" s="17"/>
      <c r="P76" s="12"/>
    </row>
    <row r="77" spans="1:16" x14ac:dyDescent="0.3">
      <c r="A77" s="12"/>
      <c r="B77" s="12"/>
      <c r="C77" s="12"/>
      <c r="D77" s="12"/>
      <c r="E77" s="12"/>
      <c r="F77" s="12"/>
      <c r="G77" s="16" t="str">
        <f>IF(OR(F77="",N('Severity Scale'!$B$2)=0),"",F77/'Severity Scale'!$B$2)</f>
        <v/>
      </c>
      <c r="H77" s="12"/>
      <c r="I77" s="13" t="str">
        <f>IF(H77="","",IFERROR(INDEX('Severity Scale'!$B$5:$B$9,H77+1)&amp;" ("&amp;INDEX('Severity Scale'!$C$5:$C$9,H77+1)&amp;")",""))</f>
        <v/>
      </c>
      <c r="J77" s="12"/>
      <c r="K77" s="12"/>
      <c r="L77" s="12"/>
      <c r="M77" s="12"/>
      <c r="N77" s="12"/>
      <c r="O77" s="17"/>
      <c r="P77" s="12"/>
    </row>
    <row r="78" spans="1:16" x14ac:dyDescent="0.3">
      <c r="A78" s="12"/>
      <c r="B78" s="12"/>
      <c r="C78" s="12"/>
      <c r="D78" s="12"/>
      <c r="E78" s="12"/>
      <c r="F78" s="12"/>
      <c r="G78" s="16" t="str">
        <f>IF(OR(F78="",N('Severity Scale'!$B$2)=0),"",F78/'Severity Scale'!$B$2)</f>
        <v/>
      </c>
      <c r="H78" s="12"/>
      <c r="I78" s="13" t="str">
        <f>IF(H78="","",IFERROR(INDEX('Severity Scale'!$B$5:$B$9,H78+1)&amp;" ("&amp;INDEX('Severity Scale'!$C$5:$C$9,H78+1)&amp;")",""))</f>
        <v/>
      </c>
      <c r="J78" s="12"/>
      <c r="K78" s="12"/>
      <c r="L78" s="12"/>
      <c r="M78" s="12"/>
      <c r="N78" s="12"/>
      <c r="O78" s="17"/>
      <c r="P78" s="12"/>
    </row>
    <row r="79" spans="1:16" x14ac:dyDescent="0.3">
      <c r="A79" s="12"/>
      <c r="B79" s="12"/>
      <c r="C79" s="12"/>
      <c r="D79" s="12"/>
      <c r="E79" s="12"/>
      <c r="F79" s="12"/>
      <c r="G79" s="16" t="str">
        <f>IF(OR(F79="",N('Severity Scale'!$B$2)=0),"",F79/'Severity Scale'!$B$2)</f>
        <v/>
      </c>
      <c r="H79" s="12"/>
      <c r="I79" s="13" t="str">
        <f>IF(H79="","",IFERROR(INDEX('Severity Scale'!$B$5:$B$9,H79+1)&amp;" ("&amp;INDEX('Severity Scale'!$C$5:$C$9,H79+1)&amp;")",""))</f>
        <v/>
      </c>
      <c r="J79" s="12"/>
      <c r="K79" s="12"/>
      <c r="L79" s="12"/>
      <c r="M79" s="12"/>
      <c r="N79" s="12"/>
      <c r="O79" s="17"/>
      <c r="P79" s="12"/>
    </row>
    <row r="80" spans="1:16" x14ac:dyDescent="0.3">
      <c r="A80" s="12"/>
      <c r="B80" s="12"/>
      <c r="C80" s="12"/>
      <c r="D80" s="12"/>
      <c r="E80" s="12"/>
      <c r="F80" s="12"/>
      <c r="G80" s="16" t="str">
        <f>IF(OR(F80="",N('Severity Scale'!$B$2)=0),"",F80/'Severity Scale'!$B$2)</f>
        <v/>
      </c>
      <c r="H80" s="12"/>
      <c r="I80" s="13" t="str">
        <f>IF(H80="","",IFERROR(INDEX('Severity Scale'!$B$5:$B$9,H80+1)&amp;" ("&amp;INDEX('Severity Scale'!$C$5:$C$9,H80+1)&amp;")",""))</f>
        <v/>
      </c>
      <c r="J80" s="12"/>
      <c r="K80" s="12"/>
      <c r="L80" s="12"/>
      <c r="M80" s="12"/>
      <c r="N80" s="12"/>
      <c r="O80" s="17"/>
      <c r="P80" s="12"/>
    </row>
    <row r="81" spans="1:16" x14ac:dyDescent="0.3">
      <c r="A81" s="12"/>
      <c r="B81" s="12"/>
      <c r="C81" s="12"/>
      <c r="D81" s="12"/>
      <c r="E81" s="12"/>
      <c r="F81" s="12"/>
      <c r="G81" s="16" t="str">
        <f>IF(OR(F81="",N('Severity Scale'!$B$2)=0),"",F81/'Severity Scale'!$B$2)</f>
        <v/>
      </c>
      <c r="H81" s="12"/>
      <c r="I81" s="13" t="str">
        <f>IF(H81="","",IFERROR(INDEX('Severity Scale'!$B$5:$B$9,H81+1)&amp;" ("&amp;INDEX('Severity Scale'!$C$5:$C$9,H81+1)&amp;")",""))</f>
        <v/>
      </c>
      <c r="J81" s="12"/>
      <c r="K81" s="12"/>
      <c r="L81" s="12"/>
      <c r="M81" s="12"/>
      <c r="N81" s="12"/>
      <c r="O81" s="17"/>
      <c r="P81" s="12"/>
    </row>
    <row r="82" spans="1:16" x14ac:dyDescent="0.3">
      <c r="A82" s="12"/>
      <c r="B82" s="12"/>
      <c r="C82" s="12"/>
      <c r="D82" s="12"/>
      <c r="E82" s="12"/>
      <c r="F82" s="12"/>
      <c r="G82" s="16" t="str">
        <f>IF(OR(F82="",N('Severity Scale'!$B$2)=0),"",F82/'Severity Scale'!$B$2)</f>
        <v/>
      </c>
      <c r="H82" s="12"/>
      <c r="I82" s="13" t="str">
        <f>IF(H82="","",IFERROR(INDEX('Severity Scale'!$B$5:$B$9,H82+1)&amp;" ("&amp;INDEX('Severity Scale'!$C$5:$C$9,H82+1)&amp;")",""))</f>
        <v/>
      </c>
      <c r="J82" s="12"/>
      <c r="K82" s="12"/>
      <c r="L82" s="12"/>
      <c r="M82" s="12"/>
      <c r="N82" s="12"/>
      <c r="O82" s="17"/>
      <c r="P82" s="12"/>
    </row>
    <row r="83" spans="1:16" x14ac:dyDescent="0.3">
      <c r="A83" s="12"/>
      <c r="B83" s="12"/>
      <c r="C83" s="12"/>
      <c r="D83" s="12"/>
      <c r="E83" s="12"/>
      <c r="F83" s="12"/>
      <c r="G83" s="16" t="str">
        <f>IF(OR(F83="",N('Severity Scale'!$B$2)=0),"",F83/'Severity Scale'!$B$2)</f>
        <v/>
      </c>
      <c r="H83" s="12"/>
      <c r="I83" s="13" t="str">
        <f>IF(H83="","",IFERROR(INDEX('Severity Scale'!$B$5:$B$9,H83+1)&amp;" ("&amp;INDEX('Severity Scale'!$C$5:$C$9,H83+1)&amp;")",""))</f>
        <v/>
      </c>
      <c r="J83" s="12"/>
      <c r="K83" s="12"/>
      <c r="L83" s="12"/>
      <c r="M83" s="12"/>
      <c r="N83" s="12"/>
      <c r="O83" s="17"/>
      <c r="P83" s="12"/>
    </row>
    <row r="84" spans="1:16" x14ac:dyDescent="0.3">
      <c r="A84" s="12"/>
      <c r="B84" s="12"/>
      <c r="C84" s="12"/>
      <c r="D84" s="12"/>
      <c r="E84" s="12"/>
      <c r="F84" s="12"/>
      <c r="G84" s="16" t="str">
        <f>IF(OR(F84="",N('Severity Scale'!$B$2)=0),"",F84/'Severity Scale'!$B$2)</f>
        <v/>
      </c>
      <c r="H84" s="12"/>
      <c r="I84" s="13" t="str">
        <f>IF(H84="","",IFERROR(INDEX('Severity Scale'!$B$5:$B$9,H84+1)&amp;" ("&amp;INDEX('Severity Scale'!$C$5:$C$9,H84+1)&amp;")",""))</f>
        <v/>
      </c>
      <c r="J84" s="12"/>
      <c r="K84" s="12"/>
      <c r="L84" s="12"/>
      <c r="M84" s="12"/>
      <c r="N84" s="12"/>
      <c r="O84" s="17"/>
      <c r="P84" s="12"/>
    </row>
    <row r="85" spans="1:16" x14ac:dyDescent="0.3">
      <c r="A85" s="12"/>
      <c r="B85" s="12"/>
      <c r="C85" s="12"/>
      <c r="D85" s="12"/>
      <c r="E85" s="12"/>
      <c r="F85" s="12"/>
      <c r="G85" s="16" t="str">
        <f>IF(OR(F85="",N('Severity Scale'!$B$2)=0),"",F85/'Severity Scale'!$B$2)</f>
        <v/>
      </c>
      <c r="H85" s="12"/>
      <c r="I85" s="13" t="str">
        <f>IF(H85="","",IFERROR(INDEX('Severity Scale'!$B$5:$B$9,H85+1)&amp;" ("&amp;INDEX('Severity Scale'!$C$5:$C$9,H85+1)&amp;")",""))</f>
        <v/>
      </c>
      <c r="J85" s="12"/>
      <c r="K85" s="12"/>
      <c r="L85" s="12"/>
      <c r="M85" s="12"/>
      <c r="N85" s="12"/>
      <c r="O85" s="17"/>
      <c r="P85" s="12"/>
    </row>
    <row r="86" spans="1:16" x14ac:dyDescent="0.3">
      <c r="A86" s="12"/>
      <c r="B86" s="12"/>
      <c r="C86" s="12"/>
      <c r="D86" s="12"/>
      <c r="E86" s="12"/>
      <c r="F86" s="12"/>
      <c r="G86" s="16" t="str">
        <f>IF(OR(F86="",N('Severity Scale'!$B$2)=0),"",F86/'Severity Scale'!$B$2)</f>
        <v/>
      </c>
      <c r="H86" s="12"/>
      <c r="I86" s="13" t="str">
        <f>IF(H86="","",IFERROR(INDEX('Severity Scale'!$B$5:$B$9,H86+1)&amp;" ("&amp;INDEX('Severity Scale'!$C$5:$C$9,H86+1)&amp;")",""))</f>
        <v/>
      </c>
      <c r="J86" s="12"/>
      <c r="K86" s="12"/>
      <c r="L86" s="12"/>
      <c r="M86" s="12"/>
      <c r="N86" s="12"/>
      <c r="O86" s="17"/>
      <c r="P86" s="12"/>
    </row>
    <row r="87" spans="1:16" x14ac:dyDescent="0.3">
      <c r="A87" s="12"/>
      <c r="B87" s="12"/>
      <c r="C87" s="12"/>
      <c r="D87" s="12"/>
      <c r="E87" s="12"/>
      <c r="F87" s="12"/>
      <c r="G87" s="16" t="str">
        <f>IF(OR(F87="",N('Severity Scale'!$B$2)=0),"",F87/'Severity Scale'!$B$2)</f>
        <v/>
      </c>
      <c r="H87" s="12"/>
      <c r="I87" s="13" t="str">
        <f>IF(H87="","",IFERROR(INDEX('Severity Scale'!$B$5:$B$9,H87+1)&amp;" ("&amp;INDEX('Severity Scale'!$C$5:$C$9,H87+1)&amp;")",""))</f>
        <v/>
      </c>
      <c r="J87" s="12"/>
      <c r="K87" s="12"/>
      <c r="L87" s="12"/>
      <c r="M87" s="12"/>
      <c r="N87" s="12"/>
      <c r="O87" s="17"/>
      <c r="P87" s="12"/>
    </row>
    <row r="88" spans="1:16" x14ac:dyDescent="0.3">
      <c r="A88" s="12"/>
      <c r="B88" s="12"/>
      <c r="C88" s="12"/>
      <c r="D88" s="12"/>
      <c r="E88" s="12"/>
      <c r="F88" s="12"/>
      <c r="G88" s="16" t="str">
        <f>IF(OR(F88="",N('Severity Scale'!$B$2)=0),"",F88/'Severity Scale'!$B$2)</f>
        <v/>
      </c>
      <c r="H88" s="12"/>
      <c r="I88" s="13" t="str">
        <f>IF(H88="","",IFERROR(INDEX('Severity Scale'!$B$5:$B$9,H88+1)&amp;" ("&amp;INDEX('Severity Scale'!$C$5:$C$9,H88+1)&amp;")",""))</f>
        <v/>
      </c>
      <c r="J88" s="12"/>
      <c r="K88" s="12"/>
      <c r="L88" s="12"/>
      <c r="M88" s="12"/>
      <c r="N88" s="12"/>
      <c r="O88" s="17"/>
      <c r="P88" s="12"/>
    </row>
    <row r="89" spans="1:16" x14ac:dyDescent="0.3">
      <c r="A89" s="12"/>
      <c r="B89" s="12"/>
      <c r="C89" s="12"/>
      <c r="D89" s="12"/>
      <c r="E89" s="12"/>
      <c r="F89" s="12"/>
      <c r="G89" s="16" t="str">
        <f>IF(OR(F89="",N('Severity Scale'!$B$2)=0),"",F89/'Severity Scale'!$B$2)</f>
        <v/>
      </c>
      <c r="H89" s="12"/>
      <c r="I89" s="13" t="str">
        <f>IF(H89="","",IFERROR(INDEX('Severity Scale'!$B$5:$B$9,H89+1)&amp;" ("&amp;INDEX('Severity Scale'!$C$5:$C$9,H89+1)&amp;")",""))</f>
        <v/>
      </c>
      <c r="J89" s="12"/>
      <c r="K89" s="12"/>
      <c r="L89" s="12"/>
      <c r="M89" s="12"/>
      <c r="N89" s="12"/>
      <c r="O89" s="17"/>
      <c r="P89" s="12"/>
    </row>
    <row r="90" spans="1:16" x14ac:dyDescent="0.3">
      <c r="A90" s="12"/>
      <c r="B90" s="12"/>
      <c r="C90" s="12"/>
      <c r="D90" s="12"/>
      <c r="E90" s="12"/>
      <c r="F90" s="12"/>
      <c r="G90" s="16" t="str">
        <f>IF(OR(F90="",N('Severity Scale'!$B$2)=0),"",F90/'Severity Scale'!$B$2)</f>
        <v/>
      </c>
      <c r="H90" s="12"/>
      <c r="I90" s="13" t="str">
        <f>IF(H90="","",IFERROR(INDEX('Severity Scale'!$B$5:$B$9,H90+1)&amp;" ("&amp;INDEX('Severity Scale'!$C$5:$C$9,H90+1)&amp;")",""))</f>
        <v/>
      </c>
      <c r="J90" s="12"/>
      <c r="K90" s="12"/>
      <c r="L90" s="12"/>
      <c r="M90" s="12"/>
      <c r="N90" s="12"/>
      <c r="O90" s="17"/>
      <c r="P90" s="12"/>
    </row>
    <row r="91" spans="1:16" x14ac:dyDescent="0.3">
      <c r="A91" s="12"/>
      <c r="B91" s="12"/>
      <c r="C91" s="12"/>
      <c r="D91" s="12"/>
      <c r="E91" s="12"/>
      <c r="F91" s="12"/>
      <c r="G91" s="16" t="str">
        <f>IF(OR(F91="",N('Severity Scale'!$B$2)=0),"",F91/'Severity Scale'!$B$2)</f>
        <v/>
      </c>
      <c r="H91" s="12"/>
      <c r="I91" s="13" t="str">
        <f>IF(H91="","",IFERROR(INDEX('Severity Scale'!$B$5:$B$9,H91+1)&amp;" ("&amp;INDEX('Severity Scale'!$C$5:$C$9,H91+1)&amp;")",""))</f>
        <v/>
      </c>
      <c r="J91" s="12"/>
      <c r="K91" s="12"/>
      <c r="L91" s="12"/>
      <c r="M91" s="12"/>
      <c r="N91" s="12"/>
      <c r="O91" s="17"/>
      <c r="P91" s="12"/>
    </row>
    <row r="92" spans="1:16" x14ac:dyDescent="0.3">
      <c r="A92" s="12"/>
      <c r="B92" s="12"/>
      <c r="C92" s="12"/>
      <c r="D92" s="12"/>
      <c r="E92" s="12"/>
      <c r="F92" s="12"/>
      <c r="G92" s="16" t="str">
        <f>IF(OR(F92="",N('Severity Scale'!$B$2)=0),"",F92/'Severity Scale'!$B$2)</f>
        <v/>
      </c>
      <c r="H92" s="12"/>
      <c r="I92" s="13" t="str">
        <f>IF(H92="","",IFERROR(INDEX('Severity Scale'!$B$5:$B$9,H92+1)&amp;" ("&amp;INDEX('Severity Scale'!$C$5:$C$9,H92+1)&amp;")",""))</f>
        <v/>
      </c>
      <c r="J92" s="12"/>
      <c r="K92" s="12"/>
      <c r="L92" s="12"/>
      <c r="M92" s="12"/>
      <c r="N92" s="12"/>
      <c r="O92" s="17"/>
      <c r="P92" s="12"/>
    </row>
    <row r="93" spans="1:16" x14ac:dyDescent="0.3">
      <c r="A93" s="12"/>
      <c r="B93" s="12"/>
      <c r="C93" s="12"/>
      <c r="D93" s="12"/>
      <c r="E93" s="12"/>
      <c r="F93" s="12"/>
      <c r="G93" s="16" t="str">
        <f>IF(OR(F93="",N('Severity Scale'!$B$2)=0),"",F93/'Severity Scale'!$B$2)</f>
        <v/>
      </c>
      <c r="H93" s="12"/>
      <c r="I93" s="13" t="str">
        <f>IF(H93="","",IFERROR(INDEX('Severity Scale'!$B$5:$B$9,H93+1)&amp;" ("&amp;INDEX('Severity Scale'!$C$5:$C$9,H93+1)&amp;")",""))</f>
        <v/>
      </c>
      <c r="J93" s="12"/>
      <c r="K93" s="12"/>
      <c r="L93" s="12"/>
      <c r="M93" s="12"/>
      <c r="N93" s="12"/>
      <c r="O93" s="17"/>
      <c r="P93" s="12"/>
    </row>
    <row r="94" spans="1:16" x14ac:dyDescent="0.3">
      <c r="A94" s="12"/>
      <c r="B94" s="12"/>
      <c r="C94" s="12"/>
      <c r="D94" s="12"/>
      <c r="E94" s="12"/>
      <c r="F94" s="12"/>
      <c r="G94" s="16" t="str">
        <f>IF(OR(F94="",N('Severity Scale'!$B$2)=0),"",F94/'Severity Scale'!$B$2)</f>
        <v/>
      </c>
      <c r="H94" s="12"/>
      <c r="I94" s="13" t="str">
        <f>IF(H94="","",IFERROR(INDEX('Severity Scale'!$B$5:$B$9,H94+1)&amp;" ("&amp;INDEX('Severity Scale'!$C$5:$C$9,H94+1)&amp;")",""))</f>
        <v/>
      </c>
      <c r="J94" s="12"/>
      <c r="K94" s="12"/>
      <c r="L94" s="12"/>
      <c r="M94" s="12"/>
      <c r="N94" s="12"/>
      <c r="O94" s="17"/>
      <c r="P94" s="12"/>
    </row>
    <row r="95" spans="1:16" x14ac:dyDescent="0.3">
      <c r="A95" s="12"/>
      <c r="B95" s="12"/>
      <c r="C95" s="12"/>
      <c r="D95" s="12"/>
      <c r="E95" s="12"/>
      <c r="F95" s="12"/>
      <c r="G95" s="16" t="str">
        <f>IF(OR(F95="",N('Severity Scale'!$B$2)=0),"",F95/'Severity Scale'!$B$2)</f>
        <v/>
      </c>
      <c r="H95" s="12"/>
      <c r="I95" s="13" t="str">
        <f>IF(H95="","",IFERROR(INDEX('Severity Scale'!$B$5:$B$9,H95+1)&amp;" ("&amp;INDEX('Severity Scale'!$C$5:$C$9,H95+1)&amp;")",""))</f>
        <v/>
      </c>
      <c r="J95" s="12"/>
      <c r="K95" s="12"/>
      <c r="L95" s="12"/>
      <c r="M95" s="12"/>
      <c r="N95" s="12"/>
      <c r="O95" s="17"/>
      <c r="P95" s="12"/>
    </row>
    <row r="96" spans="1:16" x14ac:dyDescent="0.3">
      <c r="A96" s="12"/>
      <c r="B96" s="12"/>
      <c r="C96" s="12"/>
      <c r="D96" s="12"/>
      <c r="E96" s="12"/>
      <c r="F96" s="12"/>
      <c r="G96" s="16" t="str">
        <f>IF(OR(F96="",N('Severity Scale'!$B$2)=0),"",F96/'Severity Scale'!$B$2)</f>
        <v/>
      </c>
      <c r="H96" s="12"/>
      <c r="I96" s="13" t="str">
        <f>IF(H96="","",IFERROR(INDEX('Severity Scale'!$B$5:$B$9,H96+1)&amp;" ("&amp;INDEX('Severity Scale'!$C$5:$C$9,H96+1)&amp;")",""))</f>
        <v/>
      </c>
      <c r="J96" s="12"/>
      <c r="K96" s="12"/>
      <c r="L96" s="12"/>
      <c r="M96" s="12"/>
      <c r="N96" s="12"/>
      <c r="O96" s="17"/>
      <c r="P96" s="12"/>
    </row>
    <row r="97" spans="1:16" x14ac:dyDescent="0.3">
      <c r="A97" s="12"/>
      <c r="B97" s="12"/>
      <c r="C97" s="12"/>
      <c r="D97" s="12"/>
      <c r="E97" s="12"/>
      <c r="F97" s="12"/>
      <c r="G97" s="16" t="str">
        <f>IF(OR(F97="",N('Severity Scale'!$B$2)=0),"",F97/'Severity Scale'!$B$2)</f>
        <v/>
      </c>
      <c r="H97" s="12"/>
      <c r="I97" s="13" t="str">
        <f>IF(H97="","",IFERROR(INDEX('Severity Scale'!$B$5:$B$9,H97+1)&amp;" ("&amp;INDEX('Severity Scale'!$C$5:$C$9,H97+1)&amp;")",""))</f>
        <v/>
      </c>
      <c r="J97" s="12"/>
      <c r="K97" s="12"/>
      <c r="L97" s="12"/>
      <c r="M97" s="12"/>
      <c r="N97" s="12"/>
      <c r="O97" s="17"/>
      <c r="P97" s="12"/>
    </row>
    <row r="98" spans="1:16" x14ac:dyDescent="0.3">
      <c r="A98" s="12"/>
      <c r="B98" s="12"/>
      <c r="C98" s="12"/>
      <c r="D98" s="12"/>
      <c r="E98" s="12"/>
      <c r="F98" s="12"/>
      <c r="G98" s="16" t="str">
        <f>IF(OR(F98="",N('Severity Scale'!$B$2)=0),"",F98/'Severity Scale'!$B$2)</f>
        <v/>
      </c>
      <c r="H98" s="12"/>
      <c r="I98" s="13" t="str">
        <f>IF(H98="","",IFERROR(INDEX('Severity Scale'!$B$5:$B$9,H98+1)&amp;" ("&amp;INDEX('Severity Scale'!$C$5:$C$9,H98+1)&amp;")",""))</f>
        <v/>
      </c>
      <c r="J98" s="12"/>
      <c r="K98" s="12"/>
      <c r="L98" s="12"/>
      <c r="M98" s="12"/>
      <c r="N98" s="12"/>
      <c r="O98" s="17"/>
      <c r="P98" s="12"/>
    </row>
    <row r="99" spans="1:16" x14ac:dyDescent="0.3">
      <c r="A99" s="12"/>
      <c r="B99" s="12"/>
      <c r="C99" s="12"/>
      <c r="D99" s="12"/>
      <c r="E99" s="12"/>
      <c r="F99" s="12"/>
      <c r="G99" s="16" t="str">
        <f>IF(OR(F99="",N('Severity Scale'!$B$2)=0),"",F99/'Severity Scale'!$B$2)</f>
        <v/>
      </c>
      <c r="H99" s="12"/>
      <c r="I99" s="13" t="str">
        <f>IF(H99="","",IFERROR(INDEX('Severity Scale'!$B$5:$B$9,H99+1)&amp;" ("&amp;INDEX('Severity Scale'!$C$5:$C$9,H99+1)&amp;")",""))</f>
        <v/>
      </c>
      <c r="J99" s="12"/>
      <c r="K99" s="12"/>
      <c r="L99" s="12"/>
      <c r="M99" s="12"/>
      <c r="N99" s="12"/>
      <c r="O99" s="17"/>
      <c r="P99" s="12"/>
    </row>
    <row r="100" spans="1:16" x14ac:dyDescent="0.3">
      <c r="A100" s="12"/>
      <c r="B100" s="12"/>
      <c r="C100" s="12"/>
      <c r="D100" s="12"/>
      <c r="E100" s="12"/>
      <c r="F100" s="12"/>
      <c r="G100" s="16" t="str">
        <f>IF(OR(F100="",N('Severity Scale'!$B$2)=0),"",F100/'Severity Scale'!$B$2)</f>
        <v/>
      </c>
      <c r="H100" s="12"/>
      <c r="I100" s="13" t="str">
        <f>IF(H100="","",IFERROR(INDEX('Severity Scale'!$B$5:$B$9,H100+1)&amp;" ("&amp;INDEX('Severity Scale'!$C$5:$C$9,H100+1)&amp;")",""))</f>
        <v/>
      </c>
      <c r="J100" s="12"/>
      <c r="K100" s="12"/>
      <c r="L100" s="12"/>
      <c r="M100" s="12"/>
      <c r="N100" s="12"/>
      <c r="O100" s="17"/>
      <c r="P100" s="12"/>
    </row>
  </sheetData>
  <dataValidations count="2">
    <dataValidation type="list" allowBlank="1" showErrorMessage="1" errorTitle="Invalid value" error="Pick a value from the drop-down list." sqref="H2:H100" xr:uid="{00000000-0002-0000-0800-000002000000}">
      <formula1>"0,1,2,3,4"</formula1>
    </dataValidation>
    <dataValidation type="whole" operator="greaterThanOrEqual" allowBlank="1" showErrorMessage="1" errorTitle="Invalid number" error="Whole number of participants affected." sqref="F2:F100" xr:uid="{00000000-0002-0000-0800-000007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Invalid value" error="Pick a value from the drop-down list." xr:uid="{00000000-0002-0000-0800-000000000000}">
          <x14:formula1>
            <xm:f>Lists!$B$2:$B$7</xm:f>
          </x14:formula1>
          <xm:sqref>B2:B100</xm:sqref>
        </x14:dataValidation>
        <x14:dataValidation type="list" allowBlank="1" showErrorMessage="1" errorTitle="Invalid value" error="Pick a value from the drop-down list." xr:uid="{00000000-0002-0000-0800-000001000000}">
          <x14:formula1>
            <xm:f>Lists!$H$2:$H$5</xm:f>
          </x14:formula1>
          <xm:sqref>C2:C100</xm:sqref>
        </x14:dataValidation>
        <x14:dataValidation type="list" allowBlank="1" showErrorMessage="1" errorTitle="Invalid value" error="Pick a value from the drop-down list." xr:uid="{00000000-0002-0000-0800-000003000000}">
          <x14:formula1>
            <xm:f>Lists!$D$2:$D$6</xm:f>
          </x14:formula1>
          <xm:sqref>J2:J100</xm:sqref>
        </x14:dataValidation>
        <x14:dataValidation type="list" allowBlank="1" showErrorMessage="1" errorTitle="Invalid value" error="Pick a value from the drop-down list." xr:uid="{00000000-0002-0000-0800-000004000000}">
          <x14:formula1>
            <xm:f>Lists!$E$2:$E$5</xm:f>
          </x14:formula1>
          <xm:sqref>K2:K100</xm:sqref>
        </x14:dataValidation>
        <x14:dataValidation type="list" allowBlank="1" showErrorMessage="1" errorTitle="Invalid value" error="Pick a value from the drop-down list." xr:uid="{00000000-0002-0000-0800-000005000000}">
          <x14:formula1>
            <xm:f>Lists!$F$2:$F$7</xm:f>
          </x14:formula1>
          <xm:sqref>M2:M100</xm:sqref>
        </x14:dataValidation>
        <x14:dataValidation type="list" allowBlank="1" showErrorMessage="1" errorTitle="Invalid value" error="Pick a value from the drop-down list." xr:uid="{00000000-0002-0000-0800-000006000000}">
          <x14:formula1>
            <xm:f>Lists!$G$2:$G$7</xm:f>
          </x14:formula1>
          <xm:sqref>N2:N100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4.4" x14ac:dyDescent="0.3"/>
  <cols>
    <col min="1" max="1" width="10" customWidth="1"/>
    <col min="2" max="2" width="40" customWidth="1"/>
    <col min="3" max="3" width="18" customWidth="1"/>
    <col min="4" max="4" width="90" customWidth="1"/>
  </cols>
  <sheetData>
    <row r="1" spans="1:4" ht="17.399999999999999" x14ac:dyDescent="0.3">
      <c r="A1" s="1" t="s">
        <v>249</v>
      </c>
    </row>
    <row r="2" spans="1:4" x14ac:dyDescent="0.3">
      <c r="A2" s="3" t="s">
        <v>250</v>
      </c>
      <c r="B2" s="7">
        <f>Summary!B4</f>
        <v>5</v>
      </c>
      <c r="C2" s="8" t="s">
        <v>251</v>
      </c>
    </row>
    <row r="4" spans="1:4" ht="33.6" customHeight="1" x14ac:dyDescent="0.3">
      <c r="A4" s="10" t="s">
        <v>252</v>
      </c>
      <c r="B4" s="10" t="s">
        <v>253</v>
      </c>
      <c r="C4" s="10" t="s">
        <v>254</v>
      </c>
      <c r="D4" s="10" t="s">
        <v>255</v>
      </c>
    </row>
    <row r="5" spans="1:4" x14ac:dyDescent="0.3">
      <c r="A5" s="18">
        <v>0</v>
      </c>
      <c r="B5" s="18" t="s">
        <v>256</v>
      </c>
      <c r="C5" s="18" t="s">
        <v>243</v>
      </c>
      <c r="D5" s="18" t="s">
        <v>257</v>
      </c>
    </row>
    <row r="6" spans="1:4" x14ac:dyDescent="0.3">
      <c r="A6" s="18">
        <v>1</v>
      </c>
      <c r="B6" s="18" t="s">
        <v>258</v>
      </c>
      <c r="C6" s="18" t="s">
        <v>259</v>
      </c>
      <c r="D6" s="18" t="s">
        <v>260</v>
      </c>
    </row>
    <row r="7" spans="1:4" x14ac:dyDescent="0.3">
      <c r="A7" s="18">
        <v>2</v>
      </c>
      <c r="B7" s="18" t="s">
        <v>261</v>
      </c>
      <c r="C7" s="18" t="s">
        <v>262</v>
      </c>
      <c r="D7" s="18" t="s">
        <v>263</v>
      </c>
    </row>
    <row r="8" spans="1:4" x14ac:dyDescent="0.3">
      <c r="A8" s="18">
        <v>3</v>
      </c>
      <c r="B8" s="18" t="s">
        <v>264</v>
      </c>
      <c r="C8" s="18" t="s">
        <v>265</v>
      </c>
      <c r="D8" s="18" t="s">
        <v>266</v>
      </c>
    </row>
    <row r="9" spans="1:4" x14ac:dyDescent="0.3">
      <c r="A9" s="18">
        <v>4</v>
      </c>
      <c r="B9" s="18" t="s">
        <v>267</v>
      </c>
      <c r="C9" s="18" t="s">
        <v>265</v>
      </c>
      <c r="D9" s="18" t="s">
        <v>268</v>
      </c>
    </row>
    <row r="11" spans="1:4" x14ac:dyDescent="0.3">
      <c r="A11" s="6" t="s">
        <v>269</v>
      </c>
    </row>
    <row r="12" spans="1:4" x14ac:dyDescent="0.3">
      <c r="A12" s="6" t="s">
        <v>270</v>
      </c>
    </row>
    <row r="13" spans="1:4" x14ac:dyDescent="0.3">
      <c r="A13" s="6" t="s">
        <v>271</v>
      </c>
    </row>
    <row r="14" spans="1:4" x14ac:dyDescent="0.3">
      <c r="A14" s="6" t="s">
        <v>272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/>
  </sheetViews>
  <sheetFormatPr defaultRowHeight="14.4" x14ac:dyDescent="0.3"/>
  <cols>
    <col min="1" max="1" width="9" customWidth="1"/>
    <col min="2" max="2" width="30" customWidth="1"/>
    <col min="3" max="3" width="62" customWidth="1"/>
    <col min="4" max="4" width="46" customWidth="1"/>
    <col min="5" max="5" width="20" customWidth="1"/>
  </cols>
  <sheetData>
    <row r="1" spans="1:5" ht="33.6" customHeight="1" x14ac:dyDescent="0.3">
      <c r="A1" s="10" t="s">
        <v>140</v>
      </c>
      <c r="B1" s="10" t="s">
        <v>49</v>
      </c>
      <c r="C1" s="10" t="s">
        <v>273</v>
      </c>
      <c r="D1" s="10" t="s">
        <v>274</v>
      </c>
      <c r="E1" s="10" t="s">
        <v>275</v>
      </c>
    </row>
    <row r="2" spans="1:5" x14ac:dyDescent="0.3">
      <c r="A2" s="18" t="s">
        <v>67</v>
      </c>
      <c r="B2" s="18" t="s">
        <v>68</v>
      </c>
      <c r="C2" s="18" t="s">
        <v>276</v>
      </c>
      <c r="D2" s="18" t="s">
        <v>277</v>
      </c>
      <c r="E2" s="18" t="s">
        <v>278</v>
      </c>
    </row>
    <row r="3" spans="1:5" ht="26.4" x14ac:dyDescent="0.3">
      <c r="A3" s="18" t="s">
        <v>69</v>
      </c>
      <c r="B3" s="18" t="s">
        <v>70</v>
      </c>
      <c r="C3" s="18" t="s">
        <v>279</v>
      </c>
      <c r="D3" s="18" t="s">
        <v>280</v>
      </c>
      <c r="E3" s="18" t="s">
        <v>281</v>
      </c>
    </row>
    <row r="4" spans="1:5" ht="26.4" x14ac:dyDescent="0.3">
      <c r="A4" s="18" t="s">
        <v>71</v>
      </c>
      <c r="B4" s="18" t="s">
        <v>72</v>
      </c>
      <c r="C4" s="18" t="s">
        <v>282</v>
      </c>
      <c r="D4" s="18" t="s">
        <v>283</v>
      </c>
      <c r="E4" s="18" t="s">
        <v>284</v>
      </c>
    </row>
    <row r="5" spans="1:5" x14ac:dyDescent="0.3">
      <c r="A5" s="18" t="s">
        <v>73</v>
      </c>
      <c r="B5" s="18" t="s">
        <v>74</v>
      </c>
      <c r="C5" s="18" t="s">
        <v>285</v>
      </c>
      <c r="D5" s="18" t="s">
        <v>286</v>
      </c>
      <c r="E5" s="18" t="s">
        <v>287</v>
      </c>
    </row>
    <row r="6" spans="1:5" ht="26.4" x14ac:dyDescent="0.3">
      <c r="A6" s="18" t="s">
        <v>75</v>
      </c>
      <c r="B6" s="18" t="s">
        <v>76</v>
      </c>
      <c r="C6" s="18" t="s">
        <v>288</v>
      </c>
      <c r="D6" s="18" t="s">
        <v>289</v>
      </c>
      <c r="E6" s="18" t="s">
        <v>290</v>
      </c>
    </row>
    <row r="7" spans="1:5" x14ac:dyDescent="0.3">
      <c r="A7" s="18" t="s">
        <v>77</v>
      </c>
      <c r="B7" s="18" t="s">
        <v>78</v>
      </c>
      <c r="C7" s="18" t="s">
        <v>291</v>
      </c>
      <c r="D7" s="18" t="s">
        <v>292</v>
      </c>
      <c r="E7" s="18" t="s">
        <v>293</v>
      </c>
    </row>
    <row r="9" spans="1:5" x14ac:dyDescent="0.3">
      <c r="A9" s="8" t="s">
        <v>294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"/>
  <sheetViews>
    <sheetView workbookViewId="0"/>
  </sheetViews>
  <sheetFormatPr defaultRowHeight="14.4" x14ac:dyDescent="0.3"/>
  <cols>
    <col min="1" max="8" width="34" customWidth="1"/>
  </cols>
  <sheetData>
    <row r="1" spans="1:8" x14ac:dyDescent="0.3">
      <c r="A1" s="3" t="s">
        <v>295</v>
      </c>
      <c r="B1" s="3" t="s">
        <v>296</v>
      </c>
      <c r="C1" s="3" t="s">
        <v>90</v>
      </c>
      <c r="D1" s="3" t="s">
        <v>297</v>
      </c>
      <c r="E1" s="3" t="s">
        <v>221</v>
      </c>
      <c r="F1" s="3" t="s">
        <v>223</v>
      </c>
      <c r="G1" s="3" t="s">
        <v>298</v>
      </c>
      <c r="H1" s="3" t="s">
        <v>213</v>
      </c>
    </row>
    <row r="2" spans="1:8" x14ac:dyDescent="0.3">
      <c r="A2" s="6" t="s">
        <v>51</v>
      </c>
      <c r="B2" s="6" t="s">
        <v>67</v>
      </c>
      <c r="C2" s="6" t="s">
        <v>299</v>
      </c>
      <c r="D2" s="6" t="s">
        <v>243</v>
      </c>
      <c r="E2" s="6" t="s">
        <v>300</v>
      </c>
      <c r="F2" s="6" t="s">
        <v>301</v>
      </c>
      <c r="G2" s="6" t="s">
        <v>243</v>
      </c>
      <c r="H2" s="6" t="s">
        <v>302</v>
      </c>
    </row>
    <row r="3" spans="1:8" x14ac:dyDescent="0.3">
      <c r="A3" s="6" t="s">
        <v>52</v>
      </c>
      <c r="B3" s="6" t="s">
        <v>69</v>
      </c>
      <c r="C3" s="6" t="s">
        <v>303</v>
      </c>
      <c r="D3" s="6" t="s">
        <v>304</v>
      </c>
      <c r="E3" s="6" t="s">
        <v>305</v>
      </c>
      <c r="F3" s="6" t="s">
        <v>306</v>
      </c>
      <c r="G3" s="6" t="s">
        <v>237</v>
      </c>
      <c r="H3" s="6" t="s">
        <v>307</v>
      </c>
    </row>
    <row r="4" spans="1:8" x14ac:dyDescent="0.3">
      <c r="A4" s="6" t="s">
        <v>53</v>
      </c>
      <c r="B4" s="6" t="s">
        <v>71</v>
      </c>
      <c r="C4" s="6" t="s">
        <v>308</v>
      </c>
      <c r="D4" s="6" t="s">
        <v>309</v>
      </c>
      <c r="E4" s="6" t="s">
        <v>310</v>
      </c>
      <c r="F4" s="6" t="s">
        <v>311</v>
      </c>
      <c r="G4" s="6" t="s">
        <v>312</v>
      </c>
      <c r="H4" s="6" t="s">
        <v>313</v>
      </c>
    </row>
    <row r="5" spans="1:8" x14ac:dyDescent="0.3">
      <c r="A5" s="6" t="s">
        <v>54</v>
      </c>
      <c r="B5" s="6" t="s">
        <v>73</v>
      </c>
      <c r="C5" s="6" t="s">
        <v>314</v>
      </c>
      <c r="D5" s="6" t="s">
        <v>315</v>
      </c>
      <c r="E5" s="6" t="s">
        <v>316</v>
      </c>
      <c r="F5" s="6" t="s">
        <v>317</v>
      </c>
      <c r="G5" s="6" t="s">
        <v>232</v>
      </c>
      <c r="H5" s="6" t="s">
        <v>318</v>
      </c>
    </row>
    <row r="6" spans="1:8" x14ac:dyDescent="0.3">
      <c r="A6" s="6" t="s">
        <v>319</v>
      </c>
      <c r="B6" s="6" t="s">
        <v>75</v>
      </c>
      <c r="D6" s="6" t="s">
        <v>320</v>
      </c>
      <c r="F6" s="6" t="s">
        <v>321</v>
      </c>
      <c r="G6" s="6" t="s">
        <v>248</v>
      </c>
    </row>
    <row r="7" spans="1:8" x14ac:dyDescent="0.3">
      <c r="B7" s="6" t="s">
        <v>77</v>
      </c>
      <c r="F7" s="6" t="s">
        <v>322</v>
      </c>
      <c r="G7" s="6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Legend</vt:lpstr>
      <vt:lpstr>Summary</vt:lpstr>
      <vt:lpstr>Task Metrics</vt:lpstr>
      <vt:lpstr>Table 16</vt:lpstr>
      <vt:lpstr>Charts</vt:lpstr>
      <vt:lpstr>Sessions</vt:lpstr>
      <vt:lpstr>Observations</vt:lpstr>
      <vt:lpstr>SUS</vt:lpstr>
      <vt:lpstr>Issues</vt:lpstr>
      <vt:lpstr>Severity Scale</vt:lpstr>
      <vt:lpstr>Tasks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Shalika Neranjana</cp:lastModifiedBy>
  <dcterms:modified xsi:type="dcterms:W3CDTF">2026-10-12T09:03:56Z</dcterms:modified>
</cp:coreProperties>
</file>