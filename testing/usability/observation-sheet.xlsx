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Sessions" sheetId="2" state="visible" r:id="rId2"/>
    <sheet name="Observations" sheetId="3" state="visible" r:id="rId3"/>
    <sheet name="SUS" sheetId="4" state="visible" r:id="rId4"/>
    <sheet name="Tasks" sheetId="5" state="visible" r:id="rId5"/>
    <sheet name="Lists" sheetId="6" state="hidden" r:id="rId6"/>
  </sheets>
  <definedNames>
    <definedName name="_xlnm._FilterDatabase" localSheetId="1" hidden="1">'Sessions'!$A$1:$T$16</definedName>
    <definedName name="_xlnm._FilterDatabase" localSheetId="2" hidden="1">'Observations'!$A$1:$U$200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hh:mm:ss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555555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EEF2F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2" fillId="3" borderId="0" pivotButton="0" quotePrefix="0" xfId="0"/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usability-package</author>
  </authors>
  <commentList>
    <comment ref="B2" authorId="0" shapeId="0">
      <text>
        <t>Enter as a date, e.g. 2026-10-14. No names or contact details anywhere in this workbook.</t>
      </text>
    </comment>
  </commentList>
</comments>
</file>

<file path=xl/comments/comment2.xml><?xml version="1.0" encoding="utf-8"?>
<comments xmlns="http://schemas.openxmlformats.org/spreadsheetml/2006/main">
  <authors>
    <author>usability-package</author>
  </authors>
  <commentList>
    <comment ref="F1" authorId="0" shapeId="0">
      <text>
        <t>Time on task runs from the end of the facilitator reading the scenario to the success state (PDF §9.3). Either enter start+end, or a stopwatch value in 'Manual time'.</t>
      </text>
    </comment>
  </commentList>
</comments>
</file>

<file path=xl/comments/comment3.xml><?xml version="1.0" encoding="utf-8"?>
<comments xmlns="http://schemas.openxmlformats.org/spreadsheetml/2006/main">
  <authors>
    <author>usability-package</author>
  </authors>
  <commentList>
    <comment ref="B1" authorId="0" shapeId="0">
      <text>
        <t>Q1: I think that I would like to use this system frequently.  (1 = strongly disagree ... 5 = strongly agree)</t>
      </text>
    </comment>
    <comment ref="C1" authorId="0" shapeId="0">
      <text>
        <t>Q2: I found the system unnecessarily complex.  (1 = strongly disagree ... 5 = strongly agree)</t>
      </text>
    </comment>
    <comment ref="D1" authorId="0" shapeId="0">
      <text>
        <t>Q3: I thought the system was easy to use.  (1 = strongly disagree ... 5 = strongly agree)</t>
      </text>
    </comment>
    <comment ref="E1" authorId="0" shapeId="0">
      <text>
        <t>Q4: I think that I would need the support of a technical person to be able to use this system.  (1 = strongly disagree ... 5 = strongly agree)</t>
      </text>
    </comment>
    <comment ref="F1" authorId="0" shapeId="0">
      <text>
        <t>Q5: I found the various functions in this system were well integrated.  (1 = strongly disagree ... 5 = strongly agree)</t>
      </text>
    </comment>
    <comment ref="G1" authorId="0" shapeId="0">
      <text>
        <t>Q6: I thought there was too much inconsistency in this system.  (1 = strongly disagree ... 5 = strongly agree)</t>
      </text>
    </comment>
    <comment ref="H1" authorId="0" shapeId="0">
      <text>
        <t>Q7: I would imagine that most people would learn to use this system very quickly.  (1 = strongly disagree ... 5 = strongly agree)</t>
      </text>
    </comment>
    <comment ref="I1" authorId="0" shapeId="0">
      <text>
        <t>Q8: I found the system very cumbersome to use.  (1 = strongly disagree ... 5 = strongly agree)</t>
      </text>
    </comment>
    <comment ref="J1" authorId="0" shapeId="0">
      <text>
        <t>Q9: I felt very confident using the system.  (1 = strongly disagree ... 5 = strongly agree)</t>
      </text>
    </comment>
    <comment ref="K1" authorId="0" shapeId="0">
      <text>
        <t>Q10: I needed to learn a lot of things before I could get going with this system.  (1 = strongly disagree ... 5 = strongly agree)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DonorLink usability study - Observation sheet (Workbook A)</t>
        </is>
      </c>
    </row>
    <row r="3">
      <c r="A3" s="2" t="inlineStr">
        <is>
          <t>Data entry during sessions. Blank template: participant IDs P01-P08 and task IDs are pre-listed; every value is empty. No fabricated data.</t>
        </is>
      </c>
    </row>
    <row r="4">
      <c r="A4" s="2" t="inlineStr"/>
    </row>
    <row r="5">
      <c r="A5" s="2" t="inlineStr">
        <is>
          <t>1. Sessions: one row per participant. Record consent FIRST. Use the anonymous ID only (P01...). No names, phone numbers, e-mail addresses or faces.</t>
        </is>
      </c>
    </row>
    <row r="6">
      <c r="A6" s="2" t="inlineStr">
        <is>
          <t>2. Observations: one row per participant x task (pre-listed). Pick the outcome from the drop-down; enter start/end times or a stopwatch value; count errors, recoveries, assists.</t>
        </is>
      </c>
    </row>
    <row r="7">
      <c r="A7" s="2" t="inlineStr">
        <is>
          <t>3. SUS: enter each participant's ten answers (1-5). The score is calculated for you.</t>
        </is>
      </c>
    </row>
    <row r="8">
      <c r="A8" s="2" t="inlineStr">
        <is>
          <t>4. Log problems in issue-log.xlsx (Issue ID there; reference it in column 'Issue ID').</t>
        </is>
      </c>
    </row>
    <row r="9">
      <c r="A9" s="2" t="inlineStr">
        <is>
          <t>5. To analyse: copy the Sessions, Observations and SUS sheets (whole sheet, values) into results-analysis.xlsx - the layouts are identical on purpose.</t>
        </is>
      </c>
    </row>
    <row r="10">
      <c r="A10" s="2" t="inlineStr">
        <is>
          <t>Outcome definitions (PDF Appendix C.3): unaided = no hint; assisted = one neutral hint after 60 s stuck or asked twice; abandoned = gave up or not finished in 3 min; application-blocked = a defect, not the design, stopped the task.</t>
        </is>
      </c>
    </row>
    <row r="11">
      <c r="A11" s="2" t="inlineStr">
        <is>
          <t>Error = any action that leaves the success path (wrong tab, wrong button, invalid submission). Recovery = returning to the path without help.</t>
        </is>
      </c>
    </row>
    <row r="13">
      <c r="A13" s="3" t="inlineStr">
        <is>
          <t>Colour key</t>
        </is>
      </c>
    </row>
    <row r="14">
      <c r="A14" s="4" t="inlineStr">
        <is>
          <t>Pale yellow, blue text = you type here</t>
        </is>
      </c>
    </row>
    <row r="15">
      <c r="A15" s="5" t="inlineStr">
        <is>
          <t>Grey-blue, black text = formula, do not type here</t>
        </is>
      </c>
    </row>
    <row r="17">
      <c r="A17" s="3" t="inlineStr">
        <is>
          <t>Example of a filled Observations row (illustration only - not in the data range, not a real result)</t>
        </is>
      </c>
    </row>
    <row r="18">
      <c r="A18" s="6" t="inlineStr">
        <is>
          <t>Participant P99 | Task T2 | Completed unaided | start 00:00:00 end 00:01:12 | errors 1 | recoveries 1 | assists 0 | hesitation Y | SEQ 6 | quote: "where do I say it is for my uncle?"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6" customWidth="1" min="4" max="4"/>
    <col width="20" customWidth="1" min="5" max="5"/>
    <col width="16" customWidth="1" min="6" max="6"/>
    <col width="22" customWidth="1" min="7" max="7"/>
    <col width="11" customWidth="1" min="8" max="8"/>
    <col width="12" customWidth="1" min="9" max="9"/>
    <col width="12" customWidth="1" min="10" max="10"/>
    <col width="15" customWidth="1" min="11" max="11"/>
    <col width="14" customWidth="1" min="12" max="12"/>
    <col width="11" customWidth="1" min="13" max="13"/>
    <col width="12" customWidth="1" min="14" max="14"/>
    <col width="13" customWidth="1" min="15" max="15"/>
    <col width="11" customWidth="1" min="16" max="16"/>
    <col width="11" customWidth="1" min="17" max="17"/>
    <col width="18" customWidth="1" min="18" max="18"/>
    <col width="26" customWidth="1" min="19" max="19"/>
    <col width="36" customWidth="1" min="20" max="20"/>
  </cols>
  <sheetData>
    <row r="1" ht="58" customHeight="1">
      <c r="A1" s="7" t="inlineStr">
        <is>
          <t>Participant ID</t>
        </is>
      </c>
      <c r="B1" s="7" t="inlineStr">
        <is>
          <t>Session date</t>
        </is>
      </c>
      <c r="C1" s="7" t="inlineStr">
        <is>
          <t>Environment</t>
        </is>
      </c>
      <c r="D1" s="7" t="inlineStr">
        <is>
          <t>Device model + OS version</t>
        </is>
      </c>
      <c r="E1" s="7" t="inlineStr">
        <is>
          <t>App build / commit</t>
        </is>
      </c>
      <c r="F1" s="7" t="inlineStr">
        <is>
          <t>Viewport / screen</t>
        </is>
      </c>
      <c r="G1" s="7" t="inlineStr">
        <is>
          <t>Backend used</t>
        </is>
      </c>
      <c r="H1" s="7" t="inlineStr">
        <is>
          <t>Age band</t>
        </is>
      </c>
      <c r="I1" s="7" t="inlineStr">
        <is>
          <t>Smartphone use</t>
        </is>
      </c>
      <c r="J1" s="7" t="inlineStr">
        <is>
          <t>Has donated blood? (Y/N)</t>
        </is>
      </c>
      <c r="K1" s="7" t="inlineStr">
        <is>
          <t>Has searched for blood for someone? (Y/N)</t>
        </is>
      </c>
      <c r="L1" s="7" t="inlineStr">
        <is>
          <t>Used M02 Figma prototype? (Y/N)</t>
        </is>
      </c>
      <c r="M1" s="7" t="inlineStr">
        <is>
          <t>Group member? (Y/N)</t>
        </is>
      </c>
      <c r="N1" s="7" t="inlineStr">
        <is>
          <t>Consent to take part</t>
        </is>
      </c>
      <c r="O1" s="7" t="inlineStr">
        <is>
          <t>Consent to screen recording</t>
        </is>
      </c>
      <c r="P1" s="7" t="inlineStr">
        <is>
          <t>Facilitator (initials)</t>
        </is>
      </c>
      <c r="Q1" s="7" t="inlineStr">
        <is>
          <t>Note-taker (initials)</t>
        </is>
      </c>
      <c r="R1" s="7" t="inlineStr">
        <is>
          <t>Participant category (auto)</t>
        </is>
      </c>
      <c r="S1" s="7" t="inlineStr">
        <is>
          <t>Eligibility check (auto)</t>
        </is>
      </c>
      <c r="T1" s="7" t="inlineStr">
        <is>
          <t>Session notes</t>
        </is>
      </c>
    </row>
    <row r="2">
      <c r="A2" s="8" t="inlineStr">
        <is>
          <t>P01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9">
        <f>IF(A2="","",IF(AND(J2="Y",K2="Y"),"Donor + searcher",IF(J2="Y","Donor",IF(K2="Y","Searcher","Neither"))))</f>
        <v/>
      </c>
      <c r="S2" s="9">
        <f>IF(A2="","",IF(N2&lt;&gt;"Yes","NO CONSENT - do not use data",IF(M2="Y","GROUP MEMBER - exclude",IF(L2="Y","Prior prototype exposure","OK"))))</f>
        <v/>
      </c>
      <c r="T2" s="8" t="n"/>
    </row>
    <row r="3">
      <c r="A3" s="8" t="inlineStr">
        <is>
          <t>P02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9">
        <f>IF(A3="","",IF(AND(J3="Y",K3="Y"),"Donor + searcher",IF(J3="Y","Donor",IF(K3="Y","Searcher","Neither"))))</f>
        <v/>
      </c>
      <c r="S3" s="9">
        <f>IF(A3="","",IF(N3&lt;&gt;"Yes","NO CONSENT - do not use data",IF(M3="Y","GROUP MEMBER - exclude",IF(L3="Y","Prior prototype exposure","OK"))))</f>
        <v/>
      </c>
      <c r="T3" s="8" t="n"/>
    </row>
    <row r="4">
      <c r="A4" s="8" t="inlineStr">
        <is>
          <t>P03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9">
        <f>IF(A4="","",IF(AND(J4="Y",K4="Y"),"Donor + searcher",IF(J4="Y","Donor",IF(K4="Y","Searcher","Neither"))))</f>
        <v/>
      </c>
      <c r="S4" s="9">
        <f>IF(A4="","",IF(N4&lt;&gt;"Yes","NO CONSENT - do not use data",IF(M4="Y","GROUP MEMBER - exclude",IF(L4="Y","Prior prototype exposure","OK"))))</f>
        <v/>
      </c>
      <c r="T4" s="8" t="n"/>
    </row>
    <row r="5">
      <c r="A5" s="8" t="inlineStr">
        <is>
          <t>P04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9">
        <f>IF(A5="","",IF(AND(J5="Y",K5="Y"),"Donor + searcher",IF(J5="Y","Donor",IF(K5="Y","Searcher","Neither"))))</f>
        <v/>
      </c>
      <c r="S5" s="9">
        <f>IF(A5="","",IF(N5&lt;&gt;"Yes","NO CONSENT - do not use data",IF(M5="Y","GROUP MEMBER - exclude",IF(L5="Y","Prior prototype exposure","OK"))))</f>
        <v/>
      </c>
      <c r="T5" s="8" t="n"/>
    </row>
    <row r="6">
      <c r="A6" s="8" t="inlineStr">
        <is>
          <t>P05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9">
        <f>IF(A6="","",IF(AND(J6="Y",K6="Y"),"Donor + searcher",IF(J6="Y","Donor",IF(K6="Y","Searcher","Neither"))))</f>
        <v/>
      </c>
      <c r="S6" s="9">
        <f>IF(A6="","",IF(N6&lt;&gt;"Yes","NO CONSENT - do not use data",IF(M6="Y","GROUP MEMBER - exclude",IF(L6="Y","Prior prototype exposure","OK"))))</f>
        <v/>
      </c>
      <c r="T6" s="8" t="n"/>
    </row>
    <row r="7">
      <c r="A7" s="8" t="inlineStr">
        <is>
          <t>P06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9">
        <f>IF(A7="","",IF(AND(J7="Y",K7="Y"),"Donor + searcher",IF(J7="Y","Donor",IF(K7="Y","Searcher","Neither"))))</f>
        <v/>
      </c>
      <c r="S7" s="9">
        <f>IF(A7="","",IF(N7&lt;&gt;"Yes","NO CONSENT - do not use data",IF(M7="Y","GROUP MEMBER - exclude",IF(L7="Y","Prior prototype exposure","OK"))))</f>
        <v/>
      </c>
      <c r="T7" s="8" t="n"/>
    </row>
    <row r="8">
      <c r="A8" s="8" t="inlineStr">
        <is>
          <t>P07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9">
        <f>IF(A8="","",IF(AND(J8="Y",K8="Y"),"Donor + searcher",IF(J8="Y","Donor",IF(K8="Y","Searcher","Neither"))))</f>
        <v/>
      </c>
      <c r="S8" s="9">
        <f>IF(A8="","",IF(N8&lt;&gt;"Yes","NO CONSENT - do not use data",IF(M8="Y","GROUP MEMBER - exclude",IF(L8="Y","Prior prototype exposure","OK"))))</f>
        <v/>
      </c>
      <c r="T8" s="8" t="n"/>
    </row>
    <row r="9">
      <c r="A9" s="8" t="inlineStr">
        <is>
          <t>P08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9">
        <f>IF(A9="","",IF(AND(J9="Y",K9="Y"),"Donor + searcher",IF(J9="Y","Donor",IF(K9="Y","Searcher","Neither"))))</f>
        <v/>
      </c>
      <c r="S9" s="9">
        <f>IF(A9="","",IF(N9&lt;&gt;"Yes","NO CONSENT - do not use data",IF(M9="Y","GROUP MEMBER - exclude",IF(L9="Y","Prior prototype exposure","OK"))))</f>
        <v/>
      </c>
      <c r="T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9">
        <f>IF(A10="","",IF(AND(J10="Y",K10="Y"),"Donor + searcher",IF(J10="Y","Donor",IF(K10="Y","Searcher","Neither"))))</f>
        <v/>
      </c>
      <c r="S10" s="9">
        <f>IF(A10="","",IF(N10&lt;&gt;"Yes","NO CONSENT - do not use data",IF(M10="Y","GROUP MEMBER - exclude",IF(L10="Y","Prior prototype exposure","OK"))))</f>
        <v/>
      </c>
      <c r="T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9">
        <f>IF(A11="","",IF(AND(J11="Y",K11="Y"),"Donor + searcher",IF(J11="Y","Donor",IF(K11="Y","Searcher","Neither"))))</f>
        <v/>
      </c>
      <c r="S11" s="9">
        <f>IF(A11="","",IF(N11&lt;&gt;"Yes","NO CONSENT - do not use data",IF(M11="Y","GROUP MEMBER - exclude",IF(L11="Y","Prior prototype exposure","OK"))))</f>
        <v/>
      </c>
      <c r="T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9">
        <f>IF(A12="","",IF(AND(J12="Y",K12="Y"),"Donor + searcher",IF(J12="Y","Donor",IF(K12="Y","Searcher","Neither"))))</f>
        <v/>
      </c>
      <c r="S12" s="9">
        <f>IF(A12="","",IF(N12&lt;&gt;"Yes","NO CONSENT - do not use data",IF(M12="Y","GROUP MEMBER - exclude",IF(L12="Y","Prior prototype exposure","OK"))))</f>
        <v/>
      </c>
      <c r="T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9">
        <f>IF(A13="","",IF(AND(J13="Y",K13="Y"),"Donor + searcher",IF(J13="Y","Donor",IF(K13="Y","Searcher","Neither"))))</f>
        <v/>
      </c>
      <c r="S13" s="9">
        <f>IF(A13="","",IF(N13&lt;&gt;"Yes","NO CONSENT - do not use data",IF(M13="Y","GROUP MEMBER - exclude",IF(L13="Y","Prior prototype exposure","OK"))))</f>
        <v/>
      </c>
      <c r="T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9">
        <f>IF(A14="","",IF(AND(J14="Y",K14="Y"),"Donor + searcher",IF(J14="Y","Donor",IF(K14="Y","Searcher","Neither"))))</f>
        <v/>
      </c>
      <c r="S14" s="9">
        <f>IF(A14="","",IF(N14&lt;&gt;"Yes","NO CONSENT - do not use data",IF(M14="Y","GROUP MEMBER - exclude",IF(L14="Y","Prior prototype exposure","OK"))))</f>
        <v/>
      </c>
      <c r="T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9">
        <f>IF(A15="","",IF(AND(J15="Y",K15="Y"),"Donor + searcher",IF(J15="Y","Donor",IF(K15="Y","Searcher","Neither"))))</f>
        <v/>
      </c>
      <c r="S15" s="9">
        <f>IF(A15="","",IF(N15&lt;&gt;"Yes","NO CONSENT - do not use data",IF(M15="Y","GROUP MEMBER - exclude",IF(L15="Y","Prior prototype exposure","OK"))))</f>
        <v/>
      </c>
      <c r="T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9">
        <f>IF(A16="","",IF(AND(J16="Y",K16="Y"),"Donor + searcher",IF(J16="Y","Donor",IF(K16="Y","Searcher","Neither"))))</f>
        <v/>
      </c>
      <c r="S16" s="9">
        <f>IF(A16="","",IF(N16&lt;&gt;"Yes","NO CONSENT - do not use data",IF(M16="Y","GROUP MEMBER - exclude",IF(L16="Y","Prior prototype exposure","OK"))))</f>
        <v/>
      </c>
      <c r="T16" s="8" t="n"/>
    </row>
  </sheetData>
  <autoFilter ref="A1:T16"/>
  <dataValidations count="8">
    <dataValidation sqref="C2:C16" showDropDown="0" showInputMessage="0" showErrorMessage="1" allowBlank="1" errorTitle="Invalid value" error="Pick a value from the drop-down list." type="list">
      <formula1>=Lists!$C$2:$C$5</formula1>
    </dataValidation>
    <dataValidation sqref="H2:H16" showDropDown="0" showInputMessage="0" showErrorMessage="1" allowBlank="1" errorTitle="Invalid value" error="Pick a value from the drop-down list." type="list">
      <formula1>"18-24,25-34,35+"</formula1>
    </dataValidation>
    <dataValidation sqref="I2:I16" showDropDown="0" showInputMessage="0" showErrorMessage="1" allowBlank="1" errorTitle="Invalid value" error="Pick a value from the drop-down list." type="list">
      <formula1>"Daily,Weekly"</formula1>
    </dataValidation>
    <dataValidation sqref="J2:J16" showDropDown="0" showInputMessage="0" showErrorMessage="1" allowBlank="1" errorTitle="Invalid value" error="Pick a value from the drop-down list." type="list">
      <formula1>"Y,N"</formula1>
    </dataValidation>
    <dataValidation sqref="K2:K16" showDropDown="0" showInputMessage="0" showErrorMessage="1" allowBlank="1" errorTitle="Invalid value" error="Pick a value from the drop-down list." type="list">
      <formula1>"Y,N"</formula1>
    </dataValidation>
    <dataValidation sqref="L2:L16" showDropDown="0" showInputMessage="0" showErrorMessage="1" allowBlank="1" errorTitle="Invalid value" error="Pick a value from the drop-down list." type="list">
      <formula1>"Y,N"</formula1>
    </dataValidation>
    <dataValidation sqref="M2:M16" showDropDown="0" showInputMessage="0" showErrorMessage="1" allowBlank="1" errorTitle="Invalid value" error="Pick a value from the drop-down list." type="list">
      <formula1>"Y,N"</formula1>
    </dataValidation>
    <dataValidation sqref="N2:O16" showDropDown="0" showInputMessage="0" showErrorMessage="1" allowBlank="1" errorTitle="Invalid value" error="Pick a value from the drop-down list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24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1" customWidth="1" min="11" max="11"/>
    <col width="12" customWidth="1" min="12" max="12"/>
    <col width="9" customWidth="1" min="13" max="13"/>
    <col width="11" customWidth="1" min="14" max="14"/>
    <col width="30" customWidth="1" min="15" max="15"/>
    <col width="8" customWidth="1" min="16" max="16"/>
    <col width="40" customWidth="1" min="17" max="17"/>
    <col width="30" customWidth="1" min="18" max="18"/>
    <col width="11" customWidth="1" min="19" max="19"/>
    <col width="22" customWidth="1" min="20" max="20"/>
    <col width="34" customWidth="1" min="21" max="21"/>
  </cols>
  <sheetData>
    <row r="1" ht="70" customHeight="1">
      <c r="A1" s="7" t="inlineStr">
        <is>
          <t>Participant ID</t>
        </is>
      </c>
      <c r="B1" s="7" t="inlineStr">
        <is>
          <t>Participant category (auto)</t>
        </is>
      </c>
      <c r="C1" s="7" t="inlineStr">
        <is>
          <t>Task ID</t>
        </is>
      </c>
      <c r="D1" s="7" t="inlineStr">
        <is>
          <t>Task title (auto)</t>
        </is>
      </c>
      <c r="E1" s="7" t="inlineStr">
        <is>
          <t>Task outcome</t>
        </is>
      </c>
      <c r="F1" s="7" t="inlineStr">
        <is>
          <t>Start time (hh:mm:ss)</t>
        </is>
      </c>
      <c r="G1" s="7" t="inlineStr">
        <is>
          <t>End time (hh:mm:ss)</t>
        </is>
      </c>
      <c r="H1" s="7" t="inlineStr">
        <is>
          <t>Elapsed s (auto from start/end)</t>
        </is>
      </c>
      <c r="I1" s="7" t="inlineStr">
        <is>
          <t>Manual time s (if no start/end)</t>
        </is>
      </c>
      <c r="J1" s="7" t="inlineStr">
        <is>
          <t>Time used s (auto)</t>
        </is>
      </c>
      <c r="K1" s="7" t="inlineStr">
        <is>
          <t>Errors (off-path actions / wrong taps)</t>
        </is>
      </c>
      <c r="L1" s="7" t="inlineStr">
        <is>
          <t>Recoveries (back on path unaided)</t>
        </is>
      </c>
      <c r="M1" s="7" t="inlineStr">
        <is>
          <t>Assists given (count)</t>
        </is>
      </c>
      <c r="N1" s="7" t="inlineStr">
        <is>
          <t>Hesitation &gt;5 s? (Y/N)</t>
        </is>
      </c>
      <c r="O1" s="7" t="inlineStr">
        <is>
          <t>Assistance given (what was said)</t>
        </is>
      </c>
      <c r="P1" s="7" t="inlineStr">
        <is>
          <t>SEQ (1-7)</t>
        </is>
      </c>
      <c r="Q1" s="7" t="inlineStr">
        <is>
          <t>Think-aloud / quotes</t>
        </is>
      </c>
      <c r="R1" s="7" t="inlineStr">
        <is>
          <t>Application or environment issue</t>
        </is>
      </c>
      <c r="S1" s="7" t="inlineStr">
        <is>
          <t>Issue ID (issue-log)</t>
        </is>
      </c>
      <c r="T1" s="7" t="inlineStr">
        <is>
          <t>Screenshot / recording ref</t>
        </is>
      </c>
      <c r="U1" s="7" t="inlineStr">
        <is>
          <t>Facilitator notes</t>
        </is>
      </c>
    </row>
    <row r="2">
      <c r="A2" s="8" t="inlineStr">
        <is>
          <t>P01</t>
        </is>
      </c>
      <c r="B2" s="9">
        <f>IF(A2="","",IFERROR(INDEX(Sessions!$R$2:$R$16,MATCH(A2,Sessions!$A$2:$A$16,0)),"?"))</f>
        <v/>
      </c>
      <c r="C2" s="8" t="inlineStr">
        <is>
          <t>T1</t>
        </is>
      </c>
      <c r="D2" s="9">
        <f>IF(C2="","",IFERROR(INDEX(Tasks!$B$2:$B$7,MATCH(C2,Tasks!$A$2:$A$7,0)),"?"))</f>
        <v/>
      </c>
      <c r="E2" s="8" t="n"/>
      <c r="F2" s="10" t="n"/>
      <c r="G2" s="10" t="n"/>
      <c r="H2" s="9">
        <f>IF(AND(ISNUMBER(F2),ISNUMBER(G2)),ROUND((G2-F2)*86400,0),"")</f>
        <v/>
      </c>
      <c r="I2" s="8" t="n"/>
      <c r="J2" s="9">
        <f>IF(ISNUMBER(I2),I2,IF(ISNUMBER(H2),H2,""))</f>
        <v/>
      </c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</row>
    <row r="3">
      <c r="A3" s="8" t="inlineStr">
        <is>
          <t>P01</t>
        </is>
      </c>
      <c r="B3" s="9">
        <f>IF(A3="","",IFERROR(INDEX(Sessions!$R$2:$R$16,MATCH(A3,Sessions!$A$2:$A$16,0)),"?"))</f>
        <v/>
      </c>
      <c r="C3" s="8" t="inlineStr">
        <is>
          <t>T2</t>
        </is>
      </c>
      <c r="D3" s="9">
        <f>IF(C3="","",IFERROR(INDEX(Tasks!$B$2:$B$7,MATCH(C3,Tasks!$A$2:$A$7,0)),"?"))</f>
        <v/>
      </c>
      <c r="E3" s="8" t="n"/>
      <c r="F3" s="10" t="n"/>
      <c r="G3" s="10" t="n"/>
      <c r="H3" s="9">
        <f>IF(AND(ISNUMBER(F3),ISNUMBER(G3)),ROUND((G3-F3)*86400,0),"")</f>
        <v/>
      </c>
      <c r="I3" s="8" t="n"/>
      <c r="J3" s="9">
        <f>IF(ISNUMBER(I3),I3,IF(ISNUMBER(H3),H3,""))</f>
        <v/>
      </c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</row>
    <row r="4">
      <c r="A4" s="8" t="inlineStr">
        <is>
          <t>P01</t>
        </is>
      </c>
      <c r="B4" s="9">
        <f>IF(A4="","",IFERROR(INDEX(Sessions!$R$2:$R$16,MATCH(A4,Sessions!$A$2:$A$16,0)),"?"))</f>
        <v/>
      </c>
      <c r="C4" s="8" t="inlineStr">
        <is>
          <t>T3</t>
        </is>
      </c>
      <c r="D4" s="9">
        <f>IF(C4="","",IFERROR(INDEX(Tasks!$B$2:$B$7,MATCH(C4,Tasks!$A$2:$A$7,0)),"?"))</f>
        <v/>
      </c>
      <c r="E4" s="8" t="n"/>
      <c r="F4" s="10" t="n"/>
      <c r="G4" s="10" t="n"/>
      <c r="H4" s="9">
        <f>IF(AND(ISNUMBER(F4),ISNUMBER(G4)),ROUND((G4-F4)*86400,0),"")</f>
        <v/>
      </c>
      <c r="I4" s="8" t="n"/>
      <c r="J4" s="9">
        <f>IF(ISNUMBER(I4),I4,IF(ISNUMBER(H4),H4,""))</f>
        <v/>
      </c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</row>
    <row r="5">
      <c r="A5" s="8" t="inlineStr">
        <is>
          <t>P01</t>
        </is>
      </c>
      <c r="B5" s="9">
        <f>IF(A5="","",IFERROR(INDEX(Sessions!$R$2:$R$16,MATCH(A5,Sessions!$A$2:$A$16,0)),"?"))</f>
        <v/>
      </c>
      <c r="C5" s="8" t="inlineStr">
        <is>
          <t>T4</t>
        </is>
      </c>
      <c r="D5" s="9">
        <f>IF(C5="","",IFERROR(INDEX(Tasks!$B$2:$B$7,MATCH(C5,Tasks!$A$2:$A$7,0)),"?"))</f>
        <v/>
      </c>
      <c r="E5" s="8" t="n"/>
      <c r="F5" s="10" t="n"/>
      <c r="G5" s="10" t="n"/>
      <c r="H5" s="9">
        <f>IF(AND(ISNUMBER(F5),ISNUMBER(G5)),ROUND((G5-F5)*86400,0),"")</f>
        <v/>
      </c>
      <c r="I5" s="8" t="n"/>
      <c r="J5" s="9">
        <f>IF(ISNUMBER(I5),I5,IF(ISNUMBER(H5),H5,""))</f>
        <v/>
      </c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</row>
    <row r="6">
      <c r="A6" s="8" t="inlineStr">
        <is>
          <t>P01</t>
        </is>
      </c>
      <c r="B6" s="9">
        <f>IF(A6="","",IFERROR(INDEX(Sessions!$R$2:$R$16,MATCH(A6,Sessions!$A$2:$A$16,0)),"?"))</f>
        <v/>
      </c>
      <c r="C6" s="8" t="inlineStr">
        <is>
          <t>T5</t>
        </is>
      </c>
      <c r="D6" s="9">
        <f>IF(C6="","",IFERROR(INDEX(Tasks!$B$2:$B$7,MATCH(C6,Tasks!$A$2:$A$7,0)),"?"))</f>
        <v/>
      </c>
      <c r="E6" s="8" t="n"/>
      <c r="F6" s="10" t="n"/>
      <c r="G6" s="10" t="n"/>
      <c r="H6" s="9">
        <f>IF(AND(ISNUMBER(F6),ISNUMBER(G6)),ROUND((G6-F6)*86400,0),"")</f>
        <v/>
      </c>
      <c r="I6" s="8" t="n"/>
      <c r="J6" s="9">
        <f>IF(ISNUMBER(I6),I6,IF(ISNUMBER(H6),H6,""))</f>
        <v/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</row>
    <row r="7">
      <c r="A7" s="8" t="inlineStr">
        <is>
          <t>P01</t>
        </is>
      </c>
      <c r="B7" s="9">
        <f>IF(A7="","",IFERROR(INDEX(Sessions!$R$2:$R$16,MATCH(A7,Sessions!$A$2:$A$16,0)),"?"))</f>
        <v/>
      </c>
      <c r="C7" s="8" t="inlineStr">
        <is>
          <t>T6</t>
        </is>
      </c>
      <c r="D7" s="9">
        <f>IF(C7="","",IFERROR(INDEX(Tasks!$B$2:$B$7,MATCH(C7,Tasks!$A$2:$A$7,0)),"?"))</f>
        <v/>
      </c>
      <c r="E7" s="8" t="n"/>
      <c r="F7" s="10" t="n"/>
      <c r="G7" s="10" t="n"/>
      <c r="H7" s="9">
        <f>IF(AND(ISNUMBER(F7),ISNUMBER(G7)),ROUND((G7-F7)*86400,0),"")</f>
        <v/>
      </c>
      <c r="I7" s="8" t="n"/>
      <c r="J7" s="9">
        <f>IF(ISNUMBER(I7),I7,IF(ISNUMBER(H7),H7,""))</f>
        <v/>
      </c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>
      <c r="A8" s="8" t="inlineStr">
        <is>
          <t>P02</t>
        </is>
      </c>
      <c r="B8" s="9">
        <f>IF(A8="","",IFERROR(INDEX(Sessions!$R$2:$R$16,MATCH(A8,Sessions!$A$2:$A$16,0)),"?"))</f>
        <v/>
      </c>
      <c r="C8" s="8" t="inlineStr">
        <is>
          <t>T1</t>
        </is>
      </c>
      <c r="D8" s="9">
        <f>IF(C8="","",IFERROR(INDEX(Tasks!$B$2:$B$7,MATCH(C8,Tasks!$A$2:$A$7,0)),"?"))</f>
        <v/>
      </c>
      <c r="E8" s="8" t="n"/>
      <c r="F8" s="10" t="n"/>
      <c r="G8" s="10" t="n"/>
      <c r="H8" s="9">
        <f>IF(AND(ISNUMBER(F8),ISNUMBER(G8)),ROUND((G8-F8)*86400,0),"")</f>
        <v/>
      </c>
      <c r="I8" s="8" t="n"/>
      <c r="J8" s="9">
        <f>IF(ISNUMBER(I8),I8,IF(ISNUMBER(H8),H8,""))</f>
        <v/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</row>
    <row r="9">
      <c r="A9" s="8" t="inlineStr">
        <is>
          <t>P02</t>
        </is>
      </c>
      <c r="B9" s="9">
        <f>IF(A9="","",IFERROR(INDEX(Sessions!$R$2:$R$16,MATCH(A9,Sessions!$A$2:$A$16,0)),"?"))</f>
        <v/>
      </c>
      <c r="C9" s="8" t="inlineStr">
        <is>
          <t>T2</t>
        </is>
      </c>
      <c r="D9" s="9">
        <f>IF(C9="","",IFERROR(INDEX(Tasks!$B$2:$B$7,MATCH(C9,Tasks!$A$2:$A$7,0)),"?"))</f>
        <v/>
      </c>
      <c r="E9" s="8" t="n"/>
      <c r="F9" s="10" t="n"/>
      <c r="G9" s="10" t="n"/>
      <c r="H9" s="9">
        <f>IF(AND(ISNUMBER(F9),ISNUMBER(G9)),ROUND((G9-F9)*86400,0),"")</f>
        <v/>
      </c>
      <c r="I9" s="8" t="n"/>
      <c r="J9" s="9">
        <f>IF(ISNUMBER(I9),I9,IF(ISNUMBER(H9),H9,""))</f>
        <v/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8" t="inlineStr">
        <is>
          <t>P02</t>
        </is>
      </c>
      <c r="B10" s="9">
        <f>IF(A10="","",IFERROR(INDEX(Sessions!$R$2:$R$16,MATCH(A10,Sessions!$A$2:$A$16,0)),"?"))</f>
        <v/>
      </c>
      <c r="C10" s="8" t="inlineStr">
        <is>
          <t>T3</t>
        </is>
      </c>
      <c r="D10" s="9">
        <f>IF(C10="","",IFERROR(INDEX(Tasks!$B$2:$B$7,MATCH(C10,Tasks!$A$2:$A$7,0)),"?"))</f>
        <v/>
      </c>
      <c r="E10" s="8" t="n"/>
      <c r="F10" s="10" t="n"/>
      <c r="G10" s="10" t="n"/>
      <c r="H10" s="9">
        <f>IF(AND(ISNUMBER(F10),ISNUMBER(G10)),ROUND((G10-F10)*86400,0),"")</f>
        <v/>
      </c>
      <c r="I10" s="8" t="n"/>
      <c r="J10" s="9">
        <f>IF(ISNUMBER(I10),I10,IF(ISNUMBER(H10),H10,""))</f>
        <v/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8" t="inlineStr">
        <is>
          <t>P02</t>
        </is>
      </c>
      <c r="B11" s="9">
        <f>IF(A11="","",IFERROR(INDEX(Sessions!$R$2:$R$16,MATCH(A11,Sessions!$A$2:$A$16,0)),"?"))</f>
        <v/>
      </c>
      <c r="C11" s="8" t="inlineStr">
        <is>
          <t>T4</t>
        </is>
      </c>
      <c r="D11" s="9">
        <f>IF(C11="","",IFERROR(INDEX(Tasks!$B$2:$B$7,MATCH(C11,Tasks!$A$2:$A$7,0)),"?"))</f>
        <v/>
      </c>
      <c r="E11" s="8" t="n"/>
      <c r="F11" s="10" t="n"/>
      <c r="G11" s="10" t="n"/>
      <c r="H11" s="9">
        <f>IF(AND(ISNUMBER(F11),ISNUMBER(G11)),ROUND((G11-F11)*86400,0),"")</f>
        <v/>
      </c>
      <c r="I11" s="8" t="n"/>
      <c r="J11" s="9">
        <f>IF(ISNUMBER(I11),I11,IF(ISNUMBER(H11),H11,""))</f>
        <v/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8" t="inlineStr">
        <is>
          <t>P02</t>
        </is>
      </c>
      <c r="B12" s="9">
        <f>IF(A12="","",IFERROR(INDEX(Sessions!$R$2:$R$16,MATCH(A12,Sessions!$A$2:$A$16,0)),"?"))</f>
        <v/>
      </c>
      <c r="C12" s="8" t="inlineStr">
        <is>
          <t>T5</t>
        </is>
      </c>
      <c r="D12" s="9">
        <f>IF(C12="","",IFERROR(INDEX(Tasks!$B$2:$B$7,MATCH(C12,Tasks!$A$2:$A$7,0)),"?"))</f>
        <v/>
      </c>
      <c r="E12" s="8" t="n"/>
      <c r="F12" s="10" t="n"/>
      <c r="G12" s="10" t="n"/>
      <c r="H12" s="9">
        <f>IF(AND(ISNUMBER(F12),ISNUMBER(G12)),ROUND((G12-F12)*86400,0),"")</f>
        <v/>
      </c>
      <c r="I12" s="8" t="n"/>
      <c r="J12" s="9">
        <f>IF(ISNUMBER(I12),I12,IF(ISNUMBER(H12),H12,""))</f>
        <v/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8" t="inlineStr">
        <is>
          <t>P02</t>
        </is>
      </c>
      <c r="B13" s="9">
        <f>IF(A13="","",IFERROR(INDEX(Sessions!$R$2:$R$16,MATCH(A13,Sessions!$A$2:$A$16,0)),"?"))</f>
        <v/>
      </c>
      <c r="C13" s="8" t="inlineStr">
        <is>
          <t>T6</t>
        </is>
      </c>
      <c r="D13" s="9">
        <f>IF(C13="","",IFERROR(INDEX(Tasks!$B$2:$B$7,MATCH(C13,Tasks!$A$2:$A$7,0)),"?"))</f>
        <v/>
      </c>
      <c r="E13" s="8" t="n"/>
      <c r="F13" s="10" t="n"/>
      <c r="G13" s="10" t="n"/>
      <c r="H13" s="9">
        <f>IF(AND(ISNUMBER(F13),ISNUMBER(G13)),ROUND((G13-F13)*86400,0),"")</f>
        <v/>
      </c>
      <c r="I13" s="8" t="n"/>
      <c r="J13" s="9">
        <f>IF(ISNUMBER(I13),I13,IF(ISNUMBER(H13),H13,""))</f>
        <v/>
      </c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A14" s="8" t="inlineStr">
        <is>
          <t>P03</t>
        </is>
      </c>
      <c r="B14" s="9">
        <f>IF(A14="","",IFERROR(INDEX(Sessions!$R$2:$R$16,MATCH(A14,Sessions!$A$2:$A$16,0)),"?"))</f>
        <v/>
      </c>
      <c r="C14" s="8" t="inlineStr">
        <is>
          <t>T1</t>
        </is>
      </c>
      <c r="D14" s="9">
        <f>IF(C14="","",IFERROR(INDEX(Tasks!$B$2:$B$7,MATCH(C14,Tasks!$A$2:$A$7,0)),"?"))</f>
        <v/>
      </c>
      <c r="E14" s="8" t="n"/>
      <c r="F14" s="10" t="n"/>
      <c r="G14" s="10" t="n"/>
      <c r="H14" s="9">
        <f>IF(AND(ISNUMBER(F14),ISNUMBER(G14)),ROUND((G14-F14)*86400,0),"")</f>
        <v/>
      </c>
      <c r="I14" s="8" t="n"/>
      <c r="J14" s="9">
        <f>IF(ISNUMBER(I14),I14,IF(ISNUMBER(H14),H14,""))</f>
        <v/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</row>
    <row r="15">
      <c r="A15" s="8" t="inlineStr">
        <is>
          <t>P03</t>
        </is>
      </c>
      <c r="B15" s="9">
        <f>IF(A15="","",IFERROR(INDEX(Sessions!$R$2:$R$16,MATCH(A15,Sessions!$A$2:$A$16,0)),"?"))</f>
        <v/>
      </c>
      <c r="C15" s="8" t="inlineStr">
        <is>
          <t>T2</t>
        </is>
      </c>
      <c r="D15" s="9">
        <f>IF(C15="","",IFERROR(INDEX(Tasks!$B$2:$B$7,MATCH(C15,Tasks!$A$2:$A$7,0)),"?"))</f>
        <v/>
      </c>
      <c r="E15" s="8" t="n"/>
      <c r="F15" s="10" t="n"/>
      <c r="G15" s="10" t="n"/>
      <c r="H15" s="9">
        <f>IF(AND(ISNUMBER(F15),ISNUMBER(G15)),ROUND((G15-F15)*86400,0),"")</f>
        <v/>
      </c>
      <c r="I15" s="8" t="n"/>
      <c r="J15" s="9">
        <f>IF(ISNUMBER(I15),I15,IF(ISNUMBER(H15),H15,""))</f>
        <v/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A16" s="8" t="inlineStr">
        <is>
          <t>P03</t>
        </is>
      </c>
      <c r="B16" s="9">
        <f>IF(A16="","",IFERROR(INDEX(Sessions!$R$2:$R$16,MATCH(A16,Sessions!$A$2:$A$16,0)),"?"))</f>
        <v/>
      </c>
      <c r="C16" s="8" t="inlineStr">
        <is>
          <t>T3</t>
        </is>
      </c>
      <c r="D16" s="9">
        <f>IF(C16="","",IFERROR(INDEX(Tasks!$B$2:$B$7,MATCH(C16,Tasks!$A$2:$A$7,0)),"?"))</f>
        <v/>
      </c>
      <c r="E16" s="8" t="n"/>
      <c r="F16" s="10" t="n"/>
      <c r="G16" s="10" t="n"/>
      <c r="H16" s="9">
        <f>IF(AND(ISNUMBER(F16),ISNUMBER(G16)),ROUND((G16-F16)*86400,0),"")</f>
        <v/>
      </c>
      <c r="I16" s="8" t="n"/>
      <c r="J16" s="9">
        <f>IF(ISNUMBER(I16),I16,IF(ISNUMBER(H16),H16,""))</f>
        <v/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</row>
    <row r="17">
      <c r="A17" s="8" t="inlineStr">
        <is>
          <t>P03</t>
        </is>
      </c>
      <c r="B17" s="9">
        <f>IF(A17="","",IFERROR(INDEX(Sessions!$R$2:$R$16,MATCH(A17,Sessions!$A$2:$A$16,0)),"?"))</f>
        <v/>
      </c>
      <c r="C17" s="8" t="inlineStr">
        <is>
          <t>T4</t>
        </is>
      </c>
      <c r="D17" s="9">
        <f>IF(C17="","",IFERROR(INDEX(Tasks!$B$2:$B$7,MATCH(C17,Tasks!$A$2:$A$7,0)),"?"))</f>
        <v/>
      </c>
      <c r="E17" s="8" t="n"/>
      <c r="F17" s="10" t="n"/>
      <c r="G17" s="10" t="n"/>
      <c r="H17" s="9">
        <f>IF(AND(ISNUMBER(F17),ISNUMBER(G17)),ROUND((G17-F17)*86400,0),"")</f>
        <v/>
      </c>
      <c r="I17" s="8" t="n"/>
      <c r="J17" s="9">
        <f>IF(ISNUMBER(I17),I17,IF(ISNUMBER(H17),H17,""))</f>
        <v/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A18" s="8" t="inlineStr">
        <is>
          <t>P03</t>
        </is>
      </c>
      <c r="B18" s="9">
        <f>IF(A18="","",IFERROR(INDEX(Sessions!$R$2:$R$16,MATCH(A18,Sessions!$A$2:$A$16,0)),"?"))</f>
        <v/>
      </c>
      <c r="C18" s="8" t="inlineStr">
        <is>
          <t>T5</t>
        </is>
      </c>
      <c r="D18" s="9">
        <f>IF(C18="","",IFERROR(INDEX(Tasks!$B$2:$B$7,MATCH(C18,Tasks!$A$2:$A$7,0)),"?"))</f>
        <v/>
      </c>
      <c r="E18" s="8" t="n"/>
      <c r="F18" s="10" t="n"/>
      <c r="G18" s="10" t="n"/>
      <c r="H18" s="9">
        <f>IF(AND(ISNUMBER(F18),ISNUMBER(G18)),ROUND((G18-F18)*86400,0),"")</f>
        <v/>
      </c>
      <c r="I18" s="8" t="n"/>
      <c r="J18" s="9">
        <f>IF(ISNUMBER(I18),I18,IF(ISNUMBER(H18),H18,""))</f>
        <v/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</row>
    <row r="19">
      <c r="A19" s="8" t="inlineStr">
        <is>
          <t>P03</t>
        </is>
      </c>
      <c r="B19" s="9">
        <f>IF(A19="","",IFERROR(INDEX(Sessions!$R$2:$R$16,MATCH(A19,Sessions!$A$2:$A$16,0)),"?"))</f>
        <v/>
      </c>
      <c r="C19" s="8" t="inlineStr">
        <is>
          <t>T6</t>
        </is>
      </c>
      <c r="D19" s="9">
        <f>IF(C19="","",IFERROR(INDEX(Tasks!$B$2:$B$7,MATCH(C19,Tasks!$A$2:$A$7,0)),"?"))</f>
        <v/>
      </c>
      <c r="E19" s="8" t="n"/>
      <c r="F19" s="10" t="n"/>
      <c r="G19" s="10" t="n"/>
      <c r="H19" s="9">
        <f>IF(AND(ISNUMBER(F19),ISNUMBER(G19)),ROUND((G19-F19)*86400,0),"")</f>
        <v/>
      </c>
      <c r="I19" s="8" t="n"/>
      <c r="J19" s="9">
        <f>IF(ISNUMBER(I19),I19,IF(ISNUMBER(H19),H19,""))</f>
        <v/>
      </c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A20" s="8" t="inlineStr">
        <is>
          <t>P04</t>
        </is>
      </c>
      <c r="B20" s="9">
        <f>IF(A20="","",IFERROR(INDEX(Sessions!$R$2:$R$16,MATCH(A20,Sessions!$A$2:$A$16,0)),"?"))</f>
        <v/>
      </c>
      <c r="C20" s="8" t="inlineStr">
        <is>
          <t>T1</t>
        </is>
      </c>
      <c r="D20" s="9">
        <f>IF(C20="","",IFERROR(INDEX(Tasks!$B$2:$B$7,MATCH(C20,Tasks!$A$2:$A$7,0)),"?"))</f>
        <v/>
      </c>
      <c r="E20" s="8" t="n"/>
      <c r="F20" s="10" t="n"/>
      <c r="G20" s="10" t="n"/>
      <c r="H20" s="9">
        <f>IF(AND(ISNUMBER(F20),ISNUMBER(G20)),ROUND((G20-F20)*86400,0),"")</f>
        <v/>
      </c>
      <c r="I20" s="8" t="n"/>
      <c r="J20" s="9">
        <f>IF(ISNUMBER(I20),I20,IF(ISNUMBER(H20),H20,""))</f>
        <v/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</row>
    <row r="21">
      <c r="A21" s="8" t="inlineStr">
        <is>
          <t>P04</t>
        </is>
      </c>
      <c r="B21" s="9">
        <f>IF(A21="","",IFERROR(INDEX(Sessions!$R$2:$R$16,MATCH(A21,Sessions!$A$2:$A$16,0)),"?"))</f>
        <v/>
      </c>
      <c r="C21" s="8" t="inlineStr">
        <is>
          <t>T2</t>
        </is>
      </c>
      <c r="D21" s="9">
        <f>IF(C21="","",IFERROR(INDEX(Tasks!$B$2:$B$7,MATCH(C21,Tasks!$A$2:$A$7,0)),"?"))</f>
        <v/>
      </c>
      <c r="E21" s="8" t="n"/>
      <c r="F21" s="10" t="n"/>
      <c r="G21" s="10" t="n"/>
      <c r="H21" s="9">
        <f>IF(AND(ISNUMBER(F21),ISNUMBER(G21)),ROUND((G21-F21)*86400,0),"")</f>
        <v/>
      </c>
      <c r="I21" s="8" t="n"/>
      <c r="J21" s="9">
        <f>IF(ISNUMBER(I21),I21,IF(ISNUMBER(H21),H21,""))</f>
        <v/>
      </c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A22" s="8" t="inlineStr">
        <is>
          <t>P04</t>
        </is>
      </c>
      <c r="B22" s="9">
        <f>IF(A22="","",IFERROR(INDEX(Sessions!$R$2:$R$16,MATCH(A22,Sessions!$A$2:$A$16,0)),"?"))</f>
        <v/>
      </c>
      <c r="C22" s="8" t="inlineStr">
        <is>
          <t>T3</t>
        </is>
      </c>
      <c r="D22" s="9">
        <f>IF(C22="","",IFERROR(INDEX(Tasks!$B$2:$B$7,MATCH(C22,Tasks!$A$2:$A$7,0)),"?"))</f>
        <v/>
      </c>
      <c r="E22" s="8" t="n"/>
      <c r="F22" s="10" t="n"/>
      <c r="G22" s="10" t="n"/>
      <c r="H22" s="9">
        <f>IF(AND(ISNUMBER(F22),ISNUMBER(G22)),ROUND((G22-F22)*86400,0),"")</f>
        <v/>
      </c>
      <c r="I22" s="8" t="n"/>
      <c r="J22" s="9">
        <f>IF(ISNUMBER(I22),I22,IF(ISNUMBER(H22),H22,""))</f>
        <v/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8" t="inlineStr">
        <is>
          <t>P04</t>
        </is>
      </c>
      <c r="B23" s="9">
        <f>IF(A23="","",IFERROR(INDEX(Sessions!$R$2:$R$16,MATCH(A23,Sessions!$A$2:$A$16,0)),"?"))</f>
        <v/>
      </c>
      <c r="C23" s="8" t="inlineStr">
        <is>
          <t>T4</t>
        </is>
      </c>
      <c r="D23" s="9">
        <f>IF(C23="","",IFERROR(INDEX(Tasks!$B$2:$B$7,MATCH(C23,Tasks!$A$2:$A$7,0)),"?"))</f>
        <v/>
      </c>
      <c r="E23" s="8" t="n"/>
      <c r="F23" s="10" t="n"/>
      <c r="G23" s="10" t="n"/>
      <c r="H23" s="9">
        <f>IF(AND(ISNUMBER(F23),ISNUMBER(G23)),ROUND((G23-F23)*86400,0),"")</f>
        <v/>
      </c>
      <c r="I23" s="8" t="n"/>
      <c r="J23" s="9">
        <f>IF(ISNUMBER(I23),I23,IF(ISNUMBER(H23),H23,""))</f>
        <v/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A24" s="8" t="inlineStr">
        <is>
          <t>P04</t>
        </is>
      </c>
      <c r="B24" s="9">
        <f>IF(A24="","",IFERROR(INDEX(Sessions!$R$2:$R$16,MATCH(A24,Sessions!$A$2:$A$16,0)),"?"))</f>
        <v/>
      </c>
      <c r="C24" s="8" t="inlineStr">
        <is>
          <t>T5</t>
        </is>
      </c>
      <c r="D24" s="9">
        <f>IF(C24="","",IFERROR(INDEX(Tasks!$B$2:$B$7,MATCH(C24,Tasks!$A$2:$A$7,0)),"?"))</f>
        <v/>
      </c>
      <c r="E24" s="8" t="n"/>
      <c r="F24" s="10" t="n"/>
      <c r="G24" s="10" t="n"/>
      <c r="H24" s="9">
        <f>IF(AND(ISNUMBER(F24),ISNUMBER(G24)),ROUND((G24-F24)*86400,0),"")</f>
        <v/>
      </c>
      <c r="I24" s="8" t="n"/>
      <c r="J24" s="9">
        <f>IF(ISNUMBER(I24),I24,IF(ISNUMBER(H24),H24,""))</f>
        <v/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</row>
    <row r="25">
      <c r="A25" s="8" t="inlineStr">
        <is>
          <t>P04</t>
        </is>
      </c>
      <c r="B25" s="9">
        <f>IF(A25="","",IFERROR(INDEX(Sessions!$R$2:$R$16,MATCH(A25,Sessions!$A$2:$A$16,0)),"?"))</f>
        <v/>
      </c>
      <c r="C25" s="8" t="inlineStr">
        <is>
          <t>T6</t>
        </is>
      </c>
      <c r="D25" s="9">
        <f>IF(C25="","",IFERROR(INDEX(Tasks!$B$2:$B$7,MATCH(C25,Tasks!$A$2:$A$7,0)),"?"))</f>
        <v/>
      </c>
      <c r="E25" s="8" t="n"/>
      <c r="F25" s="10" t="n"/>
      <c r="G25" s="10" t="n"/>
      <c r="H25" s="9">
        <f>IF(AND(ISNUMBER(F25),ISNUMBER(G25)),ROUND((G25-F25)*86400,0),"")</f>
        <v/>
      </c>
      <c r="I25" s="8" t="n"/>
      <c r="J25" s="9">
        <f>IF(ISNUMBER(I25),I25,IF(ISNUMBER(H25),H25,""))</f>
        <v/>
      </c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</row>
    <row r="26">
      <c r="A26" s="8" t="inlineStr">
        <is>
          <t>P05</t>
        </is>
      </c>
      <c r="B26" s="9">
        <f>IF(A26="","",IFERROR(INDEX(Sessions!$R$2:$R$16,MATCH(A26,Sessions!$A$2:$A$16,0)),"?"))</f>
        <v/>
      </c>
      <c r="C26" s="8" t="inlineStr">
        <is>
          <t>T1</t>
        </is>
      </c>
      <c r="D26" s="9">
        <f>IF(C26="","",IFERROR(INDEX(Tasks!$B$2:$B$7,MATCH(C26,Tasks!$A$2:$A$7,0)),"?"))</f>
        <v/>
      </c>
      <c r="E26" s="8" t="n"/>
      <c r="F26" s="10" t="n"/>
      <c r="G26" s="10" t="n"/>
      <c r="H26" s="9">
        <f>IF(AND(ISNUMBER(F26),ISNUMBER(G26)),ROUND((G26-F26)*86400,0),"")</f>
        <v/>
      </c>
      <c r="I26" s="8" t="n"/>
      <c r="J26" s="9">
        <f>IF(ISNUMBER(I26),I26,IF(ISNUMBER(H26),H26,""))</f>
        <v/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</row>
    <row r="27">
      <c r="A27" s="8" t="inlineStr">
        <is>
          <t>P05</t>
        </is>
      </c>
      <c r="B27" s="9">
        <f>IF(A27="","",IFERROR(INDEX(Sessions!$R$2:$R$16,MATCH(A27,Sessions!$A$2:$A$16,0)),"?"))</f>
        <v/>
      </c>
      <c r="C27" s="8" t="inlineStr">
        <is>
          <t>T2</t>
        </is>
      </c>
      <c r="D27" s="9">
        <f>IF(C27="","",IFERROR(INDEX(Tasks!$B$2:$B$7,MATCH(C27,Tasks!$A$2:$A$7,0)),"?"))</f>
        <v/>
      </c>
      <c r="E27" s="8" t="n"/>
      <c r="F27" s="10" t="n"/>
      <c r="G27" s="10" t="n"/>
      <c r="H27" s="9">
        <f>IF(AND(ISNUMBER(F27),ISNUMBER(G27)),ROUND((G27-F27)*86400,0),"")</f>
        <v/>
      </c>
      <c r="I27" s="8" t="n"/>
      <c r="J27" s="9">
        <f>IF(ISNUMBER(I27),I27,IF(ISNUMBER(H27),H27,""))</f>
        <v/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>
      <c r="A28" s="8" t="inlineStr">
        <is>
          <t>P05</t>
        </is>
      </c>
      <c r="B28" s="9">
        <f>IF(A28="","",IFERROR(INDEX(Sessions!$R$2:$R$16,MATCH(A28,Sessions!$A$2:$A$16,0)),"?"))</f>
        <v/>
      </c>
      <c r="C28" s="8" t="inlineStr">
        <is>
          <t>T3</t>
        </is>
      </c>
      <c r="D28" s="9">
        <f>IF(C28="","",IFERROR(INDEX(Tasks!$B$2:$B$7,MATCH(C28,Tasks!$A$2:$A$7,0)),"?"))</f>
        <v/>
      </c>
      <c r="E28" s="8" t="n"/>
      <c r="F28" s="10" t="n"/>
      <c r="G28" s="10" t="n"/>
      <c r="H28" s="9">
        <f>IF(AND(ISNUMBER(F28),ISNUMBER(G28)),ROUND((G28-F28)*86400,0),"")</f>
        <v/>
      </c>
      <c r="I28" s="8" t="n"/>
      <c r="J28" s="9">
        <f>IF(ISNUMBER(I28),I28,IF(ISNUMBER(H28),H28,""))</f>
        <v/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>
      <c r="A29" s="8" t="inlineStr">
        <is>
          <t>P05</t>
        </is>
      </c>
      <c r="B29" s="9">
        <f>IF(A29="","",IFERROR(INDEX(Sessions!$R$2:$R$16,MATCH(A29,Sessions!$A$2:$A$16,0)),"?"))</f>
        <v/>
      </c>
      <c r="C29" s="8" t="inlineStr">
        <is>
          <t>T4</t>
        </is>
      </c>
      <c r="D29" s="9">
        <f>IF(C29="","",IFERROR(INDEX(Tasks!$B$2:$B$7,MATCH(C29,Tasks!$A$2:$A$7,0)),"?"))</f>
        <v/>
      </c>
      <c r="E29" s="8" t="n"/>
      <c r="F29" s="10" t="n"/>
      <c r="G29" s="10" t="n"/>
      <c r="H29" s="9">
        <f>IF(AND(ISNUMBER(F29),ISNUMBER(G29)),ROUND((G29-F29)*86400,0),"")</f>
        <v/>
      </c>
      <c r="I29" s="8" t="n"/>
      <c r="J29" s="9">
        <f>IF(ISNUMBER(I29),I29,IF(ISNUMBER(H29),H29,""))</f>
        <v/>
      </c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</row>
    <row r="30">
      <c r="A30" s="8" t="inlineStr">
        <is>
          <t>P05</t>
        </is>
      </c>
      <c r="B30" s="9">
        <f>IF(A30="","",IFERROR(INDEX(Sessions!$R$2:$R$16,MATCH(A30,Sessions!$A$2:$A$16,0)),"?"))</f>
        <v/>
      </c>
      <c r="C30" s="8" t="inlineStr">
        <is>
          <t>T5</t>
        </is>
      </c>
      <c r="D30" s="9">
        <f>IF(C30="","",IFERROR(INDEX(Tasks!$B$2:$B$7,MATCH(C30,Tasks!$A$2:$A$7,0)),"?"))</f>
        <v/>
      </c>
      <c r="E30" s="8" t="n"/>
      <c r="F30" s="10" t="n"/>
      <c r="G30" s="10" t="n"/>
      <c r="H30" s="9">
        <f>IF(AND(ISNUMBER(F30),ISNUMBER(G30)),ROUND((G30-F30)*86400,0),"")</f>
        <v/>
      </c>
      <c r="I30" s="8" t="n"/>
      <c r="J30" s="9">
        <f>IF(ISNUMBER(I30),I30,IF(ISNUMBER(H30),H30,""))</f>
        <v/>
      </c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</row>
    <row r="31">
      <c r="A31" s="8" t="inlineStr">
        <is>
          <t>P05</t>
        </is>
      </c>
      <c r="B31" s="9">
        <f>IF(A31="","",IFERROR(INDEX(Sessions!$R$2:$R$16,MATCH(A31,Sessions!$A$2:$A$16,0)),"?"))</f>
        <v/>
      </c>
      <c r="C31" s="8" t="inlineStr">
        <is>
          <t>T6</t>
        </is>
      </c>
      <c r="D31" s="9">
        <f>IF(C31="","",IFERROR(INDEX(Tasks!$B$2:$B$7,MATCH(C31,Tasks!$A$2:$A$7,0)),"?"))</f>
        <v/>
      </c>
      <c r="E31" s="8" t="n"/>
      <c r="F31" s="10" t="n"/>
      <c r="G31" s="10" t="n"/>
      <c r="H31" s="9">
        <f>IF(AND(ISNUMBER(F31),ISNUMBER(G31)),ROUND((G31-F31)*86400,0),"")</f>
        <v/>
      </c>
      <c r="I31" s="8" t="n"/>
      <c r="J31" s="9">
        <f>IF(ISNUMBER(I31),I31,IF(ISNUMBER(H31),H31,""))</f>
        <v/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>
      <c r="A32" s="8" t="inlineStr">
        <is>
          <t>P06</t>
        </is>
      </c>
      <c r="B32" s="9">
        <f>IF(A32="","",IFERROR(INDEX(Sessions!$R$2:$R$16,MATCH(A32,Sessions!$A$2:$A$16,0)),"?"))</f>
        <v/>
      </c>
      <c r="C32" s="8" t="inlineStr">
        <is>
          <t>T1</t>
        </is>
      </c>
      <c r="D32" s="9">
        <f>IF(C32="","",IFERROR(INDEX(Tasks!$B$2:$B$7,MATCH(C32,Tasks!$A$2:$A$7,0)),"?"))</f>
        <v/>
      </c>
      <c r="E32" s="8" t="n"/>
      <c r="F32" s="10" t="n"/>
      <c r="G32" s="10" t="n"/>
      <c r="H32" s="9">
        <f>IF(AND(ISNUMBER(F32),ISNUMBER(G32)),ROUND((G32-F32)*86400,0),"")</f>
        <v/>
      </c>
      <c r="I32" s="8" t="n"/>
      <c r="J32" s="9">
        <f>IF(ISNUMBER(I32),I32,IF(ISNUMBER(H32),H32,""))</f>
        <v/>
      </c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</row>
    <row r="33">
      <c r="A33" s="8" t="inlineStr">
        <is>
          <t>P06</t>
        </is>
      </c>
      <c r="B33" s="9">
        <f>IF(A33="","",IFERROR(INDEX(Sessions!$R$2:$R$16,MATCH(A33,Sessions!$A$2:$A$16,0)),"?"))</f>
        <v/>
      </c>
      <c r="C33" s="8" t="inlineStr">
        <is>
          <t>T2</t>
        </is>
      </c>
      <c r="D33" s="9">
        <f>IF(C33="","",IFERROR(INDEX(Tasks!$B$2:$B$7,MATCH(C33,Tasks!$A$2:$A$7,0)),"?"))</f>
        <v/>
      </c>
      <c r="E33" s="8" t="n"/>
      <c r="F33" s="10" t="n"/>
      <c r="G33" s="10" t="n"/>
      <c r="H33" s="9">
        <f>IF(AND(ISNUMBER(F33),ISNUMBER(G33)),ROUND((G33-F33)*86400,0),"")</f>
        <v/>
      </c>
      <c r="I33" s="8" t="n"/>
      <c r="J33" s="9">
        <f>IF(ISNUMBER(I33),I33,IF(ISNUMBER(H33),H33,""))</f>
        <v/>
      </c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>
      <c r="A34" s="8" t="inlineStr">
        <is>
          <t>P06</t>
        </is>
      </c>
      <c r="B34" s="9">
        <f>IF(A34="","",IFERROR(INDEX(Sessions!$R$2:$R$16,MATCH(A34,Sessions!$A$2:$A$16,0)),"?"))</f>
        <v/>
      </c>
      <c r="C34" s="8" t="inlineStr">
        <is>
          <t>T3</t>
        </is>
      </c>
      <c r="D34" s="9">
        <f>IF(C34="","",IFERROR(INDEX(Tasks!$B$2:$B$7,MATCH(C34,Tasks!$A$2:$A$7,0)),"?"))</f>
        <v/>
      </c>
      <c r="E34" s="8" t="n"/>
      <c r="F34" s="10" t="n"/>
      <c r="G34" s="10" t="n"/>
      <c r="H34" s="9">
        <f>IF(AND(ISNUMBER(F34),ISNUMBER(G34)),ROUND((G34-F34)*86400,0),"")</f>
        <v/>
      </c>
      <c r="I34" s="8" t="n"/>
      <c r="J34" s="9">
        <f>IF(ISNUMBER(I34),I34,IF(ISNUMBER(H34),H34,""))</f>
        <v/>
      </c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</row>
    <row r="35">
      <c r="A35" s="8" t="inlineStr">
        <is>
          <t>P06</t>
        </is>
      </c>
      <c r="B35" s="9">
        <f>IF(A35="","",IFERROR(INDEX(Sessions!$R$2:$R$16,MATCH(A35,Sessions!$A$2:$A$16,0)),"?"))</f>
        <v/>
      </c>
      <c r="C35" s="8" t="inlineStr">
        <is>
          <t>T4</t>
        </is>
      </c>
      <c r="D35" s="9">
        <f>IF(C35="","",IFERROR(INDEX(Tasks!$B$2:$B$7,MATCH(C35,Tasks!$A$2:$A$7,0)),"?"))</f>
        <v/>
      </c>
      <c r="E35" s="8" t="n"/>
      <c r="F35" s="10" t="n"/>
      <c r="G35" s="10" t="n"/>
      <c r="H35" s="9">
        <f>IF(AND(ISNUMBER(F35),ISNUMBER(G35)),ROUND((G35-F35)*86400,0),"")</f>
        <v/>
      </c>
      <c r="I35" s="8" t="n"/>
      <c r="J35" s="9">
        <f>IF(ISNUMBER(I35),I35,IF(ISNUMBER(H35),H35,""))</f>
        <v/>
      </c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A36" s="8" t="inlineStr">
        <is>
          <t>P06</t>
        </is>
      </c>
      <c r="B36" s="9">
        <f>IF(A36="","",IFERROR(INDEX(Sessions!$R$2:$R$16,MATCH(A36,Sessions!$A$2:$A$16,0)),"?"))</f>
        <v/>
      </c>
      <c r="C36" s="8" t="inlineStr">
        <is>
          <t>T5</t>
        </is>
      </c>
      <c r="D36" s="9">
        <f>IF(C36="","",IFERROR(INDEX(Tasks!$B$2:$B$7,MATCH(C36,Tasks!$A$2:$A$7,0)),"?"))</f>
        <v/>
      </c>
      <c r="E36" s="8" t="n"/>
      <c r="F36" s="10" t="n"/>
      <c r="G36" s="10" t="n"/>
      <c r="H36" s="9">
        <f>IF(AND(ISNUMBER(F36),ISNUMBER(G36)),ROUND((G36-F36)*86400,0),"")</f>
        <v/>
      </c>
      <c r="I36" s="8" t="n"/>
      <c r="J36" s="9">
        <f>IF(ISNUMBER(I36),I36,IF(ISNUMBER(H36),H36,""))</f>
        <v/>
      </c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</row>
    <row r="37">
      <c r="A37" s="8" t="inlineStr">
        <is>
          <t>P06</t>
        </is>
      </c>
      <c r="B37" s="9">
        <f>IF(A37="","",IFERROR(INDEX(Sessions!$R$2:$R$16,MATCH(A37,Sessions!$A$2:$A$16,0)),"?"))</f>
        <v/>
      </c>
      <c r="C37" s="8" t="inlineStr">
        <is>
          <t>T6</t>
        </is>
      </c>
      <c r="D37" s="9">
        <f>IF(C37="","",IFERROR(INDEX(Tasks!$B$2:$B$7,MATCH(C37,Tasks!$A$2:$A$7,0)),"?"))</f>
        <v/>
      </c>
      <c r="E37" s="8" t="n"/>
      <c r="F37" s="10" t="n"/>
      <c r="G37" s="10" t="n"/>
      <c r="H37" s="9">
        <f>IF(AND(ISNUMBER(F37),ISNUMBER(G37)),ROUND((G37-F37)*86400,0),"")</f>
        <v/>
      </c>
      <c r="I37" s="8" t="n"/>
      <c r="J37" s="9">
        <f>IF(ISNUMBER(I37),I37,IF(ISNUMBER(H37),H37,""))</f>
        <v/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8" t="inlineStr">
        <is>
          <t>P07</t>
        </is>
      </c>
      <c r="B38" s="9">
        <f>IF(A38="","",IFERROR(INDEX(Sessions!$R$2:$R$16,MATCH(A38,Sessions!$A$2:$A$16,0)),"?"))</f>
        <v/>
      </c>
      <c r="C38" s="8" t="inlineStr">
        <is>
          <t>T1</t>
        </is>
      </c>
      <c r="D38" s="9">
        <f>IF(C38="","",IFERROR(INDEX(Tasks!$B$2:$B$7,MATCH(C38,Tasks!$A$2:$A$7,0)),"?"))</f>
        <v/>
      </c>
      <c r="E38" s="8" t="n"/>
      <c r="F38" s="10" t="n"/>
      <c r="G38" s="10" t="n"/>
      <c r="H38" s="9">
        <f>IF(AND(ISNUMBER(F38),ISNUMBER(G38)),ROUND((G38-F38)*86400,0),"")</f>
        <v/>
      </c>
      <c r="I38" s="8" t="n"/>
      <c r="J38" s="9">
        <f>IF(ISNUMBER(I38),I38,IF(ISNUMBER(H38),H38,""))</f>
        <v/>
      </c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8" t="inlineStr">
        <is>
          <t>P07</t>
        </is>
      </c>
      <c r="B39" s="9">
        <f>IF(A39="","",IFERROR(INDEX(Sessions!$R$2:$R$16,MATCH(A39,Sessions!$A$2:$A$16,0)),"?"))</f>
        <v/>
      </c>
      <c r="C39" s="8" t="inlineStr">
        <is>
          <t>T2</t>
        </is>
      </c>
      <c r="D39" s="9">
        <f>IF(C39="","",IFERROR(INDEX(Tasks!$B$2:$B$7,MATCH(C39,Tasks!$A$2:$A$7,0)),"?"))</f>
        <v/>
      </c>
      <c r="E39" s="8" t="n"/>
      <c r="F39" s="10" t="n"/>
      <c r="G39" s="10" t="n"/>
      <c r="H39" s="9">
        <f>IF(AND(ISNUMBER(F39),ISNUMBER(G39)),ROUND((G39-F39)*86400,0),"")</f>
        <v/>
      </c>
      <c r="I39" s="8" t="n"/>
      <c r="J39" s="9">
        <f>IF(ISNUMBER(I39),I39,IF(ISNUMBER(H39),H39,""))</f>
        <v/>
      </c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8" t="inlineStr">
        <is>
          <t>P07</t>
        </is>
      </c>
      <c r="B40" s="9">
        <f>IF(A40="","",IFERROR(INDEX(Sessions!$R$2:$R$16,MATCH(A40,Sessions!$A$2:$A$16,0)),"?"))</f>
        <v/>
      </c>
      <c r="C40" s="8" t="inlineStr">
        <is>
          <t>T3</t>
        </is>
      </c>
      <c r="D40" s="9">
        <f>IF(C40="","",IFERROR(INDEX(Tasks!$B$2:$B$7,MATCH(C40,Tasks!$A$2:$A$7,0)),"?"))</f>
        <v/>
      </c>
      <c r="E40" s="8" t="n"/>
      <c r="F40" s="10" t="n"/>
      <c r="G40" s="10" t="n"/>
      <c r="H40" s="9">
        <f>IF(AND(ISNUMBER(F40),ISNUMBER(G40)),ROUND((G40-F40)*86400,0),"")</f>
        <v/>
      </c>
      <c r="I40" s="8" t="n"/>
      <c r="J40" s="9">
        <f>IF(ISNUMBER(I40),I40,IF(ISNUMBER(H40),H40,""))</f>
        <v/>
      </c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</row>
    <row r="41">
      <c r="A41" s="8" t="inlineStr">
        <is>
          <t>P07</t>
        </is>
      </c>
      <c r="B41" s="9">
        <f>IF(A41="","",IFERROR(INDEX(Sessions!$R$2:$R$16,MATCH(A41,Sessions!$A$2:$A$16,0)),"?"))</f>
        <v/>
      </c>
      <c r="C41" s="8" t="inlineStr">
        <is>
          <t>T4</t>
        </is>
      </c>
      <c r="D41" s="9">
        <f>IF(C41="","",IFERROR(INDEX(Tasks!$B$2:$B$7,MATCH(C41,Tasks!$A$2:$A$7,0)),"?"))</f>
        <v/>
      </c>
      <c r="E41" s="8" t="n"/>
      <c r="F41" s="10" t="n"/>
      <c r="G41" s="10" t="n"/>
      <c r="H41" s="9">
        <f>IF(AND(ISNUMBER(F41),ISNUMBER(G41)),ROUND((G41-F41)*86400,0),"")</f>
        <v/>
      </c>
      <c r="I41" s="8" t="n"/>
      <c r="J41" s="9">
        <f>IF(ISNUMBER(I41),I41,IF(ISNUMBER(H41),H41,""))</f>
        <v/>
      </c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>
      <c r="A42" s="8" t="inlineStr">
        <is>
          <t>P07</t>
        </is>
      </c>
      <c r="B42" s="9">
        <f>IF(A42="","",IFERROR(INDEX(Sessions!$R$2:$R$16,MATCH(A42,Sessions!$A$2:$A$16,0)),"?"))</f>
        <v/>
      </c>
      <c r="C42" s="8" t="inlineStr">
        <is>
          <t>T5</t>
        </is>
      </c>
      <c r="D42" s="9">
        <f>IF(C42="","",IFERROR(INDEX(Tasks!$B$2:$B$7,MATCH(C42,Tasks!$A$2:$A$7,0)),"?"))</f>
        <v/>
      </c>
      <c r="E42" s="8" t="n"/>
      <c r="F42" s="10" t="n"/>
      <c r="G42" s="10" t="n"/>
      <c r="H42" s="9">
        <f>IF(AND(ISNUMBER(F42),ISNUMBER(G42)),ROUND((G42-F42)*86400,0),"")</f>
        <v/>
      </c>
      <c r="I42" s="8" t="n"/>
      <c r="J42" s="9">
        <f>IF(ISNUMBER(I42),I42,IF(ISNUMBER(H42),H42,""))</f>
        <v/>
      </c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</row>
    <row r="43">
      <c r="A43" s="8" t="inlineStr">
        <is>
          <t>P07</t>
        </is>
      </c>
      <c r="B43" s="9">
        <f>IF(A43="","",IFERROR(INDEX(Sessions!$R$2:$R$16,MATCH(A43,Sessions!$A$2:$A$16,0)),"?"))</f>
        <v/>
      </c>
      <c r="C43" s="8" t="inlineStr">
        <is>
          <t>T6</t>
        </is>
      </c>
      <c r="D43" s="9">
        <f>IF(C43="","",IFERROR(INDEX(Tasks!$B$2:$B$7,MATCH(C43,Tasks!$A$2:$A$7,0)),"?"))</f>
        <v/>
      </c>
      <c r="E43" s="8" t="n"/>
      <c r="F43" s="10" t="n"/>
      <c r="G43" s="10" t="n"/>
      <c r="H43" s="9">
        <f>IF(AND(ISNUMBER(F43),ISNUMBER(G43)),ROUND((G43-F43)*86400,0),"")</f>
        <v/>
      </c>
      <c r="I43" s="8" t="n"/>
      <c r="J43" s="9">
        <f>IF(ISNUMBER(I43),I43,IF(ISNUMBER(H43),H43,""))</f>
        <v/>
      </c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A44" s="8" t="inlineStr">
        <is>
          <t>P08</t>
        </is>
      </c>
      <c r="B44" s="9">
        <f>IF(A44="","",IFERROR(INDEX(Sessions!$R$2:$R$16,MATCH(A44,Sessions!$A$2:$A$16,0)),"?"))</f>
        <v/>
      </c>
      <c r="C44" s="8" t="inlineStr">
        <is>
          <t>T1</t>
        </is>
      </c>
      <c r="D44" s="9">
        <f>IF(C44="","",IFERROR(INDEX(Tasks!$B$2:$B$7,MATCH(C44,Tasks!$A$2:$A$7,0)),"?"))</f>
        <v/>
      </c>
      <c r="E44" s="8" t="n"/>
      <c r="F44" s="10" t="n"/>
      <c r="G44" s="10" t="n"/>
      <c r="H44" s="9">
        <f>IF(AND(ISNUMBER(F44),ISNUMBER(G44)),ROUND((G44-F44)*86400,0),"")</f>
        <v/>
      </c>
      <c r="I44" s="8" t="n"/>
      <c r="J44" s="9">
        <f>IF(ISNUMBER(I44),I44,IF(ISNUMBER(H44),H44,""))</f>
        <v/>
      </c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</row>
    <row r="45">
      <c r="A45" s="8" t="inlineStr">
        <is>
          <t>P08</t>
        </is>
      </c>
      <c r="B45" s="9">
        <f>IF(A45="","",IFERROR(INDEX(Sessions!$R$2:$R$16,MATCH(A45,Sessions!$A$2:$A$16,0)),"?"))</f>
        <v/>
      </c>
      <c r="C45" s="8" t="inlineStr">
        <is>
          <t>T2</t>
        </is>
      </c>
      <c r="D45" s="9">
        <f>IF(C45="","",IFERROR(INDEX(Tasks!$B$2:$B$7,MATCH(C45,Tasks!$A$2:$A$7,0)),"?"))</f>
        <v/>
      </c>
      <c r="E45" s="8" t="n"/>
      <c r="F45" s="10" t="n"/>
      <c r="G45" s="10" t="n"/>
      <c r="H45" s="9">
        <f>IF(AND(ISNUMBER(F45),ISNUMBER(G45)),ROUND((G45-F45)*86400,0),"")</f>
        <v/>
      </c>
      <c r="I45" s="8" t="n"/>
      <c r="J45" s="9">
        <f>IF(ISNUMBER(I45),I45,IF(ISNUMBER(H45),H45,""))</f>
        <v/>
      </c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>
      <c r="A46" s="8" t="inlineStr">
        <is>
          <t>P08</t>
        </is>
      </c>
      <c r="B46" s="9">
        <f>IF(A46="","",IFERROR(INDEX(Sessions!$R$2:$R$16,MATCH(A46,Sessions!$A$2:$A$16,0)),"?"))</f>
        <v/>
      </c>
      <c r="C46" s="8" t="inlineStr">
        <is>
          <t>T3</t>
        </is>
      </c>
      <c r="D46" s="9">
        <f>IF(C46="","",IFERROR(INDEX(Tasks!$B$2:$B$7,MATCH(C46,Tasks!$A$2:$A$7,0)),"?"))</f>
        <v/>
      </c>
      <c r="E46" s="8" t="n"/>
      <c r="F46" s="10" t="n"/>
      <c r="G46" s="10" t="n"/>
      <c r="H46" s="9">
        <f>IF(AND(ISNUMBER(F46),ISNUMBER(G46)),ROUND((G46-F46)*86400,0),"")</f>
        <v/>
      </c>
      <c r="I46" s="8" t="n"/>
      <c r="J46" s="9">
        <f>IF(ISNUMBER(I46),I46,IF(ISNUMBER(H46),H46,""))</f>
        <v/>
      </c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8" t="inlineStr">
        <is>
          <t>P08</t>
        </is>
      </c>
      <c r="B47" s="9">
        <f>IF(A47="","",IFERROR(INDEX(Sessions!$R$2:$R$16,MATCH(A47,Sessions!$A$2:$A$16,0)),"?"))</f>
        <v/>
      </c>
      <c r="C47" s="8" t="inlineStr">
        <is>
          <t>T4</t>
        </is>
      </c>
      <c r="D47" s="9">
        <f>IF(C47="","",IFERROR(INDEX(Tasks!$B$2:$B$7,MATCH(C47,Tasks!$A$2:$A$7,0)),"?"))</f>
        <v/>
      </c>
      <c r="E47" s="8" t="n"/>
      <c r="F47" s="10" t="n"/>
      <c r="G47" s="10" t="n"/>
      <c r="H47" s="9">
        <f>IF(AND(ISNUMBER(F47),ISNUMBER(G47)),ROUND((G47-F47)*86400,0),"")</f>
        <v/>
      </c>
      <c r="I47" s="8" t="n"/>
      <c r="J47" s="9">
        <f>IF(ISNUMBER(I47),I47,IF(ISNUMBER(H47),H47,""))</f>
        <v/>
      </c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8" t="inlineStr">
        <is>
          <t>P08</t>
        </is>
      </c>
      <c r="B48" s="9">
        <f>IF(A48="","",IFERROR(INDEX(Sessions!$R$2:$R$16,MATCH(A48,Sessions!$A$2:$A$16,0)),"?"))</f>
        <v/>
      </c>
      <c r="C48" s="8" t="inlineStr">
        <is>
          <t>T5</t>
        </is>
      </c>
      <c r="D48" s="9">
        <f>IF(C48="","",IFERROR(INDEX(Tasks!$B$2:$B$7,MATCH(C48,Tasks!$A$2:$A$7,0)),"?"))</f>
        <v/>
      </c>
      <c r="E48" s="8" t="n"/>
      <c r="F48" s="10" t="n"/>
      <c r="G48" s="10" t="n"/>
      <c r="H48" s="9">
        <f>IF(AND(ISNUMBER(F48),ISNUMBER(G48)),ROUND((G48-F48)*86400,0),"")</f>
        <v/>
      </c>
      <c r="I48" s="8" t="n"/>
      <c r="J48" s="9">
        <f>IF(ISNUMBER(I48),I48,IF(ISNUMBER(H48),H48,""))</f>
        <v/>
      </c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8" t="inlineStr">
        <is>
          <t>P08</t>
        </is>
      </c>
      <c r="B49" s="9">
        <f>IF(A49="","",IFERROR(INDEX(Sessions!$R$2:$R$16,MATCH(A49,Sessions!$A$2:$A$16,0)),"?"))</f>
        <v/>
      </c>
      <c r="C49" s="8" t="inlineStr">
        <is>
          <t>T6</t>
        </is>
      </c>
      <c r="D49" s="9">
        <f>IF(C49="","",IFERROR(INDEX(Tasks!$B$2:$B$7,MATCH(C49,Tasks!$A$2:$A$7,0)),"?"))</f>
        <v/>
      </c>
      <c r="E49" s="8" t="n"/>
      <c r="F49" s="10" t="n"/>
      <c r="G49" s="10" t="n"/>
      <c r="H49" s="9">
        <f>IF(AND(ISNUMBER(F49),ISNUMBER(G49)),ROUND((G49-F49)*86400,0),"")</f>
        <v/>
      </c>
      <c r="I49" s="8" t="n"/>
      <c r="J49" s="9">
        <f>IF(ISNUMBER(I49),I49,IF(ISNUMBER(H49),H49,""))</f>
        <v/>
      </c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8" t="n"/>
      <c r="B50" s="9">
        <f>IF(A50="","",IFERROR(INDEX(Sessions!$R$2:$R$16,MATCH(A50,Sessions!$A$2:$A$16,0)),"?"))</f>
        <v/>
      </c>
      <c r="C50" s="8" t="n"/>
      <c r="D50" s="9">
        <f>IF(C50="","",IFERROR(INDEX(Tasks!$B$2:$B$7,MATCH(C50,Tasks!$A$2:$A$7,0)),"?"))</f>
        <v/>
      </c>
      <c r="E50" s="8" t="n"/>
      <c r="F50" s="10" t="n"/>
      <c r="G50" s="10" t="n"/>
      <c r="H50" s="9">
        <f>IF(AND(ISNUMBER(F50),ISNUMBER(G50)),ROUND((G50-F50)*86400,0),"")</f>
        <v/>
      </c>
      <c r="I50" s="8" t="n"/>
      <c r="J50" s="9">
        <f>IF(ISNUMBER(I50),I50,IF(ISNUMBER(H50),H50,""))</f>
        <v/>
      </c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8" t="n"/>
      <c r="B51" s="9">
        <f>IF(A51="","",IFERROR(INDEX(Sessions!$R$2:$R$16,MATCH(A51,Sessions!$A$2:$A$16,0)),"?"))</f>
        <v/>
      </c>
      <c r="C51" s="8" t="n"/>
      <c r="D51" s="9">
        <f>IF(C51="","",IFERROR(INDEX(Tasks!$B$2:$B$7,MATCH(C51,Tasks!$A$2:$A$7,0)),"?"))</f>
        <v/>
      </c>
      <c r="E51" s="8" t="n"/>
      <c r="F51" s="10" t="n"/>
      <c r="G51" s="10" t="n"/>
      <c r="H51" s="9">
        <f>IF(AND(ISNUMBER(F51),ISNUMBER(G51)),ROUND((G51-F51)*86400,0),"")</f>
        <v/>
      </c>
      <c r="I51" s="8" t="n"/>
      <c r="J51" s="9">
        <f>IF(ISNUMBER(I51),I51,IF(ISNUMBER(H51),H51,""))</f>
        <v/>
      </c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8" t="n"/>
      <c r="B52" s="9">
        <f>IF(A52="","",IFERROR(INDEX(Sessions!$R$2:$R$16,MATCH(A52,Sessions!$A$2:$A$16,0)),"?"))</f>
        <v/>
      </c>
      <c r="C52" s="8" t="n"/>
      <c r="D52" s="9">
        <f>IF(C52="","",IFERROR(INDEX(Tasks!$B$2:$B$7,MATCH(C52,Tasks!$A$2:$A$7,0)),"?"))</f>
        <v/>
      </c>
      <c r="E52" s="8" t="n"/>
      <c r="F52" s="10" t="n"/>
      <c r="G52" s="10" t="n"/>
      <c r="H52" s="9">
        <f>IF(AND(ISNUMBER(F52),ISNUMBER(G52)),ROUND((G52-F52)*86400,0),"")</f>
        <v/>
      </c>
      <c r="I52" s="8" t="n"/>
      <c r="J52" s="9">
        <f>IF(ISNUMBER(I52),I52,IF(ISNUMBER(H52),H52,""))</f>
        <v/>
      </c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</row>
    <row r="53">
      <c r="A53" s="8" t="n"/>
      <c r="B53" s="9">
        <f>IF(A53="","",IFERROR(INDEX(Sessions!$R$2:$R$16,MATCH(A53,Sessions!$A$2:$A$16,0)),"?"))</f>
        <v/>
      </c>
      <c r="C53" s="8" t="n"/>
      <c r="D53" s="9">
        <f>IF(C53="","",IFERROR(INDEX(Tasks!$B$2:$B$7,MATCH(C53,Tasks!$A$2:$A$7,0)),"?"))</f>
        <v/>
      </c>
      <c r="E53" s="8" t="n"/>
      <c r="F53" s="10" t="n"/>
      <c r="G53" s="10" t="n"/>
      <c r="H53" s="9">
        <f>IF(AND(ISNUMBER(F53),ISNUMBER(G53)),ROUND((G53-F53)*86400,0),"")</f>
        <v/>
      </c>
      <c r="I53" s="8" t="n"/>
      <c r="J53" s="9">
        <f>IF(ISNUMBER(I53),I53,IF(ISNUMBER(H53),H53,""))</f>
        <v/>
      </c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</row>
    <row r="54">
      <c r="A54" s="8" t="n"/>
      <c r="B54" s="9">
        <f>IF(A54="","",IFERROR(INDEX(Sessions!$R$2:$R$16,MATCH(A54,Sessions!$A$2:$A$16,0)),"?"))</f>
        <v/>
      </c>
      <c r="C54" s="8" t="n"/>
      <c r="D54" s="9">
        <f>IF(C54="","",IFERROR(INDEX(Tasks!$B$2:$B$7,MATCH(C54,Tasks!$A$2:$A$7,0)),"?"))</f>
        <v/>
      </c>
      <c r="E54" s="8" t="n"/>
      <c r="F54" s="10" t="n"/>
      <c r="G54" s="10" t="n"/>
      <c r="H54" s="9">
        <f>IF(AND(ISNUMBER(F54),ISNUMBER(G54)),ROUND((G54-F54)*86400,0),"")</f>
        <v/>
      </c>
      <c r="I54" s="8" t="n"/>
      <c r="J54" s="9">
        <f>IF(ISNUMBER(I54),I54,IF(ISNUMBER(H54),H54,""))</f>
        <v/>
      </c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</row>
    <row r="55">
      <c r="A55" s="8" t="n"/>
      <c r="B55" s="9">
        <f>IF(A55="","",IFERROR(INDEX(Sessions!$R$2:$R$16,MATCH(A55,Sessions!$A$2:$A$16,0)),"?"))</f>
        <v/>
      </c>
      <c r="C55" s="8" t="n"/>
      <c r="D55" s="9">
        <f>IF(C55="","",IFERROR(INDEX(Tasks!$B$2:$B$7,MATCH(C55,Tasks!$A$2:$A$7,0)),"?"))</f>
        <v/>
      </c>
      <c r="E55" s="8" t="n"/>
      <c r="F55" s="10" t="n"/>
      <c r="G55" s="10" t="n"/>
      <c r="H55" s="9">
        <f>IF(AND(ISNUMBER(F55),ISNUMBER(G55)),ROUND((G55-F55)*86400,0),"")</f>
        <v/>
      </c>
      <c r="I55" s="8" t="n"/>
      <c r="J55" s="9">
        <f>IF(ISNUMBER(I55),I55,IF(ISNUMBER(H55),H55,""))</f>
        <v/>
      </c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>
      <c r="A56" s="8" t="n"/>
      <c r="B56" s="9">
        <f>IF(A56="","",IFERROR(INDEX(Sessions!$R$2:$R$16,MATCH(A56,Sessions!$A$2:$A$16,0)),"?"))</f>
        <v/>
      </c>
      <c r="C56" s="8" t="n"/>
      <c r="D56" s="9">
        <f>IF(C56="","",IFERROR(INDEX(Tasks!$B$2:$B$7,MATCH(C56,Tasks!$A$2:$A$7,0)),"?"))</f>
        <v/>
      </c>
      <c r="E56" s="8" t="n"/>
      <c r="F56" s="10" t="n"/>
      <c r="G56" s="10" t="n"/>
      <c r="H56" s="9">
        <f>IF(AND(ISNUMBER(F56),ISNUMBER(G56)),ROUND((G56-F56)*86400,0),"")</f>
        <v/>
      </c>
      <c r="I56" s="8" t="n"/>
      <c r="J56" s="9">
        <f>IF(ISNUMBER(I56),I56,IF(ISNUMBER(H56),H56,""))</f>
        <v/>
      </c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</row>
    <row r="57">
      <c r="A57" s="8" t="n"/>
      <c r="B57" s="9">
        <f>IF(A57="","",IFERROR(INDEX(Sessions!$R$2:$R$16,MATCH(A57,Sessions!$A$2:$A$16,0)),"?"))</f>
        <v/>
      </c>
      <c r="C57" s="8" t="n"/>
      <c r="D57" s="9">
        <f>IF(C57="","",IFERROR(INDEX(Tasks!$B$2:$B$7,MATCH(C57,Tasks!$A$2:$A$7,0)),"?"))</f>
        <v/>
      </c>
      <c r="E57" s="8" t="n"/>
      <c r="F57" s="10" t="n"/>
      <c r="G57" s="10" t="n"/>
      <c r="H57" s="9">
        <f>IF(AND(ISNUMBER(F57),ISNUMBER(G57)),ROUND((G57-F57)*86400,0),"")</f>
        <v/>
      </c>
      <c r="I57" s="8" t="n"/>
      <c r="J57" s="9">
        <f>IF(ISNUMBER(I57),I57,IF(ISNUMBER(H57),H57,""))</f>
        <v/>
      </c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</row>
    <row r="58">
      <c r="A58" s="8" t="n"/>
      <c r="B58" s="9">
        <f>IF(A58="","",IFERROR(INDEX(Sessions!$R$2:$R$16,MATCH(A58,Sessions!$A$2:$A$16,0)),"?"))</f>
        <v/>
      </c>
      <c r="C58" s="8" t="n"/>
      <c r="D58" s="9">
        <f>IF(C58="","",IFERROR(INDEX(Tasks!$B$2:$B$7,MATCH(C58,Tasks!$A$2:$A$7,0)),"?"))</f>
        <v/>
      </c>
      <c r="E58" s="8" t="n"/>
      <c r="F58" s="10" t="n"/>
      <c r="G58" s="10" t="n"/>
      <c r="H58" s="9">
        <f>IF(AND(ISNUMBER(F58),ISNUMBER(G58)),ROUND((G58-F58)*86400,0),"")</f>
        <v/>
      </c>
      <c r="I58" s="8" t="n"/>
      <c r="J58" s="9">
        <f>IF(ISNUMBER(I58),I58,IF(ISNUMBER(H58),H58,""))</f>
        <v/>
      </c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8" t="n"/>
      <c r="B59" s="9">
        <f>IF(A59="","",IFERROR(INDEX(Sessions!$R$2:$R$16,MATCH(A59,Sessions!$A$2:$A$16,0)),"?"))</f>
        <v/>
      </c>
      <c r="C59" s="8" t="n"/>
      <c r="D59" s="9">
        <f>IF(C59="","",IFERROR(INDEX(Tasks!$B$2:$B$7,MATCH(C59,Tasks!$A$2:$A$7,0)),"?"))</f>
        <v/>
      </c>
      <c r="E59" s="8" t="n"/>
      <c r="F59" s="10" t="n"/>
      <c r="G59" s="10" t="n"/>
      <c r="H59" s="9">
        <f>IF(AND(ISNUMBER(F59),ISNUMBER(G59)),ROUND((G59-F59)*86400,0),"")</f>
        <v/>
      </c>
      <c r="I59" s="8" t="n"/>
      <c r="J59" s="9">
        <f>IF(ISNUMBER(I59),I59,IF(ISNUMBER(H59),H59,""))</f>
        <v/>
      </c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8" t="n"/>
      <c r="B60" s="9">
        <f>IF(A60="","",IFERROR(INDEX(Sessions!$R$2:$R$16,MATCH(A60,Sessions!$A$2:$A$16,0)),"?"))</f>
        <v/>
      </c>
      <c r="C60" s="8" t="n"/>
      <c r="D60" s="9">
        <f>IF(C60="","",IFERROR(INDEX(Tasks!$B$2:$B$7,MATCH(C60,Tasks!$A$2:$A$7,0)),"?"))</f>
        <v/>
      </c>
      <c r="E60" s="8" t="n"/>
      <c r="F60" s="10" t="n"/>
      <c r="G60" s="10" t="n"/>
      <c r="H60" s="9">
        <f>IF(AND(ISNUMBER(F60),ISNUMBER(G60)),ROUND((G60-F60)*86400,0),"")</f>
        <v/>
      </c>
      <c r="I60" s="8" t="n"/>
      <c r="J60" s="9">
        <f>IF(ISNUMBER(I60),I60,IF(ISNUMBER(H60),H60,""))</f>
        <v/>
      </c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8" t="n"/>
      <c r="B61" s="9">
        <f>IF(A61="","",IFERROR(INDEX(Sessions!$R$2:$R$16,MATCH(A61,Sessions!$A$2:$A$16,0)),"?"))</f>
        <v/>
      </c>
      <c r="C61" s="8" t="n"/>
      <c r="D61" s="9">
        <f>IF(C61="","",IFERROR(INDEX(Tasks!$B$2:$B$7,MATCH(C61,Tasks!$A$2:$A$7,0)),"?"))</f>
        <v/>
      </c>
      <c r="E61" s="8" t="n"/>
      <c r="F61" s="10" t="n"/>
      <c r="G61" s="10" t="n"/>
      <c r="H61" s="9">
        <f>IF(AND(ISNUMBER(F61),ISNUMBER(G61)),ROUND((G61-F61)*86400,0),"")</f>
        <v/>
      </c>
      <c r="I61" s="8" t="n"/>
      <c r="J61" s="9">
        <f>IF(ISNUMBER(I61),I61,IF(ISNUMBER(H61),H61,""))</f>
        <v/>
      </c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</row>
    <row r="62">
      <c r="A62" s="8" t="n"/>
      <c r="B62" s="9">
        <f>IF(A62="","",IFERROR(INDEX(Sessions!$R$2:$R$16,MATCH(A62,Sessions!$A$2:$A$16,0)),"?"))</f>
        <v/>
      </c>
      <c r="C62" s="8" t="n"/>
      <c r="D62" s="9">
        <f>IF(C62="","",IFERROR(INDEX(Tasks!$B$2:$B$7,MATCH(C62,Tasks!$A$2:$A$7,0)),"?"))</f>
        <v/>
      </c>
      <c r="E62" s="8" t="n"/>
      <c r="F62" s="10" t="n"/>
      <c r="G62" s="10" t="n"/>
      <c r="H62" s="9">
        <f>IF(AND(ISNUMBER(F62),ISNUMBER(G62)),ROUND((G62-F62)*86400,0),"")</f>
        <v/>
      </c>
      <c r="I62" s="8" t="n"/>
      <c r="J62" s="9">
        <f>IF(ISNUMBER(I62),I62,IF(ISNUMBER(H62),H62,""))</f>
        <v/>
      </c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</row>
    <row r="63">
      <c r="A63" s="8" t="n"/>
      <c r="B63" s="9">
        <f>IF(A63="","",IFERROR(INDEX(Sessions!$R$2:$R$16,MATCH(A63,Sessions!$A$2:$A$16,0)),"?"))</f>
        <v/>
      </c>
      <c r="C63" s="8" t="n"/>
      <c r="D63" s="9">
        <f>IF(C63="","",IFERROR(INDEX(Tasks!$B$2:$B$7,MATCH(C63,Tasks!$A$2:$A$7,0)),"?"))</f>
        <v/>
      </c>
      <c r="E63" s="8" t="n"/>
      <c r="F63" s="10" t="n"/>
      <c r="G63" s="10" t="n"/>
      <c r="H63" s="9">
        <f>IF(AND(ISNUMBER(F63),ISNUMBER(G63)),ROUND((G63-F63)*86400,0),"")</f>
        <v/>
      </c>
      <c r="I63" s="8" t="n"/>
      <c r="J63" s="9">
        <f>IF(ISNUMBER(I63),I63,IF(ISNUMBER(H63),H63,""))</f>
        <v/>
      </c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>
      <c r="A64" s="8" t="n"/>
      <c r="B64" s="9">
        <f>IF(A64="","",IFERROR(INDEX(Sessions!$R$2:$R$16,MATCH(A64,Sessions!$A$2:$A$16,0)),"?"))</f>
        <v/>
      </c>
      <c r="C64" s="8" t="n"/>
      <c r="D64" s="9">
        <f>IF(C64="","",IFERROR(INDEX(Tasks!$B$2:$B$7,MATCH(C64,Tasks!$A$2:$A$7,0)),"?"))</f>
        <v/>
      </c>
      <c r="E64" s="8" t="n"/>
      <c r="F64" s="10" t="n"/>
      <c r="G64" s="10" t="n"/>
      <c r="H64" s="9">
        <f>IF(AND(ISNUMBER(F64),ISNUMBER(G64)),ROUND((G64-F64)*86400,0),"")</f>
        <v/>
      </c>
      <c r="I64" s="8" t="n"/>
      <c r="J64" s="9">
        <f>IF(ISNUMBER(I64),I64,IF(ISNUMBER(H64),H64,""))</f>
        <v/>
      </c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</row>
    <row r="65">
      <c r="A65" s="8" t="n"/>
      <c r="B65" s="9">
        <f>IF(A65="","",IFERROR(INDEX(Sessions!$R$2:$R$16,MATCH(A65,Sessions!$A$2:$A$16,0)),"?"))</f>
        <v/>
      </c>
      <c r="C65" s="8" t="n"/>
      <c r="D65" s="9">
        <f>IF(C65="","",IFERROR(INDEX(Tasks!$B$2:$B$7,MATCH(C65,Tasks!$A$2:$A$7,0)),"?"))</f>
        <v/>
      </c>
      <c r="E65" s="8" t="n"/>
      <c r="F65" s="10" t="n"/>
      <c r="G65" s="10" t="n"/>
      <c r="H65" s="9">
        <f>IF(AND(ISNUMBER(F65),ISNUMBER(G65)),ROUND((G65-F65)*86400,0),"")</f>
        <v/>
      </c>
      <c r="I65" s="8" t="n"/>
      <c r="J65" s="9">
        <f>IF(ISNUMBER(I65),I65,IF(ISNUMBER(H65),H65,""))</f>
        <v/>
      </c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</row>
    <row r="66">
      <c r="A66" s="8" t="n"/>
      <c r="B66" s="9">
        <f>IF(A66="","",IFERROR(INDEX(Sessions!$R$2:$R$16,MATCH(A66,Sessions!$A$2:$A$16,0)),"?"))</f>
        <v/>
      </c>
      <c r="C66" s="8" t="n"/>
      <c r="D66" s="9">
        <f>IF(C66="","",IFERROR(INDEX(Tasks!$B$2:$B$7,MATCH(C66,Tasks!$A$2:$A$7,0)),"?"))</f>
        <v/>
      </c>
      <c r="E66" s="8" t="n"/>
      <c r="F66" s="10" t="n"/>
      <c r="G66" s="10" t="n"/>
      <c r="H66" s="9">
        <f>IF(AND(ISNUMBER(F66),ISNUMBER(G66)),ROUND((G66-F66)*86400,0),"")</f>
        <v/>
      </c>
      <c r="I66" s="8" t="n"/>
      <c r="J66" s="9">
        <f>IF(ISNUMBER(I66),I66,IF(ISNUMBER(H66),H66,""))</f>
        <v/>
      </c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</row>
    <row r="67">
      <c r="A67" s="8" t="n"/>
      <c r="B67" s="9">
        <f>IF(A67="","",IFERROR(INDEX(Sessions!$R$2:$R$16,MATCH(A67,Sessions!$A$2:$A$16,0)),"?"))</f>
        <v/>
      </c>
      <c r="C67" s="8" t="n"/>
      <c r="D67" s="9">
        <f>IF(C67="","",IFERROR(INDEX(Tasks!$B$2:$B$7,MATCH(C67,Tasks!$A$2:$A$7,0)),"?"))</f>
        <v/>
      </c>
      <c r="E67" s="8" t="n"/>
      <c r="F67" s="10" t="n"/>
      <c r="G67" s="10" t="n"/>
      <c r="H67" s="9">
        <f>IF(AND(ISNUMBER(F67),ISNUMBER(G67)),ROUND((G67-F67)*86400,0),"")</f>
        <v/>
      </c>
      <c r="I67" s="8" t="n"/>
      <c r="J67" s="9">
        <f>IF(ISNUMBER(I67),I67,IF(ISNUMBER(H67),H67,""))</f>
        <v/>
      </c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</row>
    <row r="68">
      <c r="A68" s="8" t="n"/>
      <c r="B68" s="9">
        <f>IF(A68="","",IFERROR(INDEX(Sessions!$R$2:$R$16,MATCH(A68,Sessions!$A$2:$A$16,0)),"?"))</f>
        <v/>
      </c>
      <c r="C68" s="8" t="n"/>
      <c r="D68" s="9">
        <f>IF(C68="","",IFERROR(INDEX(Tasks!$B$2:$B$7,MATCH(C68,Tasks!$A$2:$A$7,0)),"?"))</f>
        <v/>
      </c>
      <c r="E68" s="8" t="n"/>
      <c r="F68" s="10" t="n"/>
      <c r="G68" s="10" t="n"/>
      <c r="H68" s="9">
        <f>IF(AND(ISNUMBER(F68),ISNUMBER(G68)),ROUND((G68-F68)*86400,0),"")</f>
        <v/>
      </c>
      <c r="I68" s="8" t="n"/>
      <c r="J68" s="9">
        <f>IF(ISNUMBER(I68),I68,IF(ISNUMBER(H68),H68,""))</f>
        <v/>
      </c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</row>
    <row r="69">
      <c r="A69" s="8" t="n"/>
      <c r="B69" s="9">
        <f>IF(A69="","",IFERROR(INDEX(Sessions!$R$2:$R$16,MATCH(A69,Sessions!$A$2:$A$16,0)),"?"))</f>
        <v/>
      </c>
      <c r="C69" s="8" t="n"/>
      <c r="D69" s="9">
        <f>IF(C69="","",IFERROR(INDEX(Tasks!$B$2:$B$7,MATCH(C69,Tasks!$A$2:$A$7,0)),"?"))</f>
        <v/>
      </c>
      <c r="E69" s="8" t="n"/>
      <c r="F69" s="10" t="n"/>
      <c r="G69" s="10" t="n"/>
      <c r="H69" s="9">
        <f>IF(AND(ISNUMBER(F69),ISNUMBER(G69)),ROUND((G69-F69)*86400,0),"")</f>
        <v/>
      </c>
      <c r="I69" s="8" t="n"/>
      <c r="J69" s="9">
        <f>IF(ISNUMBER(I69),I69,IF(ISNUMBER(H69),H69,""))</f>
        <v/>
      </c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</row>
    <row r="70">
      <c r="A70" s="8" t="n"/>
      <c r="B70" s="9">
        <f>IF(A70="","",IFERROR(INDEX(Sessions!$R$2:$R$16,MATCH(A70,Sessions!$A$2:$A$16,0)),"?"))</f>
        <v/>
      </c>
      <c r="C70" s="8" t="n"/>
      <c r="D70" s="9">
        <f>IF(C70="","",IFERROR(INDEX(Tasks!$B$2:$B$7,MATCH(C70,Tasks!$A$2:$A$7,0)),"?"))</f>
        <v/>
      </c>
      <c r="E70" s="8" t="n"/>
      <c r="F70" s="10" t="n"/>
      <c r="G70" s="10" t="n"/>
      <c r="H70" s="9">
        <f>IF(AND(ISNUMBER(F70),ISNUMBER(G70)),ROUND((G70-F70)*86400,0),"")</f>
        <v/>
      </c>
      <c r="I70" s="8" t="n"/>
      <c r="J70" s="9">
        <f>IF(ISNUMBER(I70),I70,IF(ISNUMBER(H70),H70,""))</f>
        <v/>
      </c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8" t="n"/>
      <c r="B71" s="9">
        <f>IF(A71="","",IFERROR(INDEX(Sessions!$R$2:$R$16,MATCH(A71,Sessions!$A$2:$A$16,0)),"?"))</f>
        <v/>
      </c>
      <c r="C71" s="8" t="n"/>
      <c r="D71" s="9">
        <f>IF(C71="","",IFERROR(INDEX(Tasks!$B$2:$B$7,MATCH(C71,Tasks!$A$2:$A$7,0)),"?"))</f>
        <v/>
      </c>
      <c r="E71" s="8" t="n"/>
      <c r="F71" s="10" t="n"/>
      <c r="G71" s="10" t="n"/>
      <c r="H71" s="9">
        <f>IF(AND(ISNUMBER(F71),ISNUMBER(G71)),ROUND((G71-F71)*86400,0),"")</f>
        <v/>
      </c>
      <c r="I71" s="8" t="n"/>
      <c r="J71" s="9">
        <f>IF(ISNUMBER(I71),I71,IF(ISNUMBER(H71),H71,""))</f>
        <v/>
      </c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8" t="n"/>
      <c r="B72" s="9">
        <f>IF(A72="","",IFERROR(INDEX(Sessions!$R$2:$R$16,MATCH(A72,Sessions!$A$2:$A$16,0)),"?"))</f>
        <v/>
      </c>
      <c r="C72" s="8" t="n"/>
      <c r="D72" s="9">
        <f>IF(C72="","",IFERROR(INDEX(Tasks!$B$2:$B$7,MATCH(C72,Tasks!$A$2:$A$7,0)),"?"))</f>
        <v/>
      </c>
      <c r="E72" s="8" t="n"/>
      <c r="F72" s="10" t="n"/>
      <c r="G72" s="10" t="n"/>
      <c r="H72" s="9">
        <f>IF(AND(ISNUMBER(F72),ISNUMBER(G72)),ROUND((G72-F72)*86400,0),"")</f>
        <v/>
      </c>
      <c r="I72" s="8" t="n"/>
      <c r="J72" s="9">
        <f>IF(ISNUMBER(I72),I72,IF(ISNUMBER(H72),H72,""))</f>
        <v/>
      </c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8" t="n"/>
      <c r="B73" s="9">
        <f>IF(A73="","",IFERROR(INDEX(Sessions!$R$2:$R$16,MATCH(A73,Sessions!$A$2:$A$16,0)),"?"))</f>
        <v/>
      </c>
      <c r="C73" s="8" t="n"/>
      <c r="D73" s="9">
        <f>IF(C73="","",IFERROR(INDEX(Tasks!$B$2:$B$7,MATCH(C73,Tasks!$A$2:$A$7,0)),"?"))</f>
        <v/>
      </c>
      <c r="E73" s="8" t="n"/>
      <c r="F73" s="10" t="n"/>
      <c r="G73" s="10" t="n"/>
      <c r="H73" s="9">
        <f>IF(AND(ISNUMBER(F73),ISNUMBER(G73)),ROUND((G73-F73)*86400,0),"")</f>
        <v/>
      </c>
      <c r="I73" s="8" t="n"/>
      <c r="J73" s="9">
        <f>IF(ISNUMBER(I73),I73,IF(ISNUMBER(H73),H73,""))</f>
        <v/>
      </c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8" t="n"/>
      <c r="B74" s="9">
        <f>IF(A74="","",IFERROR(INDEX(Sessions!$R$2:$R$16,MATCH(A74,Sessions!$A$2:$A$16,0)),"?"))</f>
        <v/>
      </c>
      <c r="C74" s="8" t="n"/>
      <c r="D74" s="9">
        <f>IF(C74="","",IFERROR(INDEX(Tasks!$B$2:$B$7,MATCH(C74,Tasks!$A$2:$A$7,0)),"?"))</f>
        <v/>
      </c>
      <c r="E74" s="8" t="n"/>
      <c r="F74" s="10" t="n"/>
      <c r="G74" s="10" t="n"/>
      <c r="H74" s="9">
        <f>IF(AND(ISNUMBER(F74),ISNUMBER(G74)),ROUND((G74-F74)*86400,0),"")</f>
        <v/>
      </c>
      <c r="I74" s="8" t="n"/>
      <c r="J74" s="9">
        <f>IF(ISNUMBER(I74),I74,IF(ISNUMBER(H74),H74,""))</f>
        <v/>
      </c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8" t="n"/>
      <c r="B75" s="9">
        <f>IF(A75="","",IFERROR(INDEX(Sessions!$R$2:$R$16,MATCH(A75,Sessions!$A$2:$A$16,0)),"?"))</f>
        <v/>
      </c>
      <c r="C75" s="8" t="n"/>
      <c r="D75" s="9">
        <f>IF(C75="","",IFERROR(INDEX(Tasks!$B$2:$B$7,MATCH(C75,Tasks!$A$2:$A$7,0)),"?"))</f>
        <v/>
      </c>
      <c r="E75" s="8" t="n"/>
      <c r="F75" s="10" t="n"/>
      <c r="G75" s="10" t="n"/>
      <c r="H75" s="9">
        <f>IF(AND(ISNUMBER(F75),ISNUMBER(G75)),ROUND((G75-F75)*86400,0),"")</f>
        <v/>
      </c>
      <c r="I75" s="8" t="n"/>
      <c r="J75" s="9">
        <f>IF(ISNUMBER(I75),I75,IF(ISNUMBER(H75),H75,""))</f>
        <v/>
      </c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8" t="n"/>
      <c r="B76" s="9">
        <f>IF(A76="","",IFERROR(INDEX(Sessions!$R$2:$R$16,MATCH(A76,Sessions!$A$2:$A$16,0)),"?"))</f>
        <v/>
      </c>
      <c r="C76" s="8" t="n"/>
      <c r="D76" s="9">
        <f>IF(C76="","",IFERROR(INDEX(Tasks!$B$2:$B$7,MATCH(C76,Tasks!$A$2:$A$7,0)),"?"))</f>
        <v/>
      </c>
      <c r="E76" s="8" t="n"/>
      <c r="F76" s="10" t="n"/>
      <c r="G76" s="10" t="n"/>
      <c r="H76" s="9">
        <f>IF(AND(ISNUMBER(F76),ISNUMBER(G76)),ROUND((G76-F76)*86400,0),"")</f>
        <v/>
      </c>
      <c r="I76" s="8" t="n"/>
      <c r="J76" s="9">
        <f>IF(ISNUMBER(I76),I76,IF(ISNUMBER(H76),H76,""))</f>
        <v/>
      </c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</row>
    <row r="77">
      <c r="A77" s="8" t="n"/>
      <c r="B77" s="9">
        <f>IF(A77="","",IFERROR(INDEX(Sessions!$R$2:$R$16,MATCH(A77,Sessions!$A$2:$A$16,0)),"?"))</f>
        <v/>
      </c>
      <c r="C77" s="8" t="n"/>
      <c r="D77" s="9">
        <f>IF(C77="","",IFERROR(INDEX(Tasks!$B$2:$B$7,MATCH(C77,Tasks!$A$2:$A$7,0)),"?"))</f>
        <v/>
      </c>
      <c r="E77" s="8" t="n"/>
      <c r="F77" s="10" t="n"/>
      <c r="G77" s="10" t="n"/>
      <c r="H77" s="9">
        <f>IF(AND(ISNUMBER(F77),ISNUMBER(G77)),ROUND((G77-F77)*86400,0),"")</f>
        <v/>
      </c>
      <c r="I77" s="8" t="n"/>
      <c r="J77" s="9">
        <f>IF(ISNUMBER(I77),I77,IF(ISNUMBER(H77),H77,""))</f>
        <v/>
      </c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</row>
    <row r="78">
      <c r="A78" s="8" t="n"/>
      <c r="B78" s="9">
        <f>IF(A78="","",IFERROR(INDEX(Sessions!$R$2:$R$16,MATCH(A78,Sessions!$A$2:$A$16,0)),"?"))</f>
        <v/>
      </c>
      <c r="C78" s="8" t="n"/>
      <c r="D78" s="9">
        <f>IF(C78="","",IFERROR(INDEX(Tasks!$B$2:$B$7,MATCH(C78,Tasks!$A$2:$A$7,0)),"?"))</f>
        <v/>
      </c>
      <c r="E78" s="8" t="n"/>
      <c r="F78" s="10" t="n"/>
      <c r="G78" s="10" t="n"/>
      <c r="H78" s="9">
        <f>IF(AND(ISNUMBER(F78),ISNUMBER(G78)),ROUND((G78-F78)*86400,0),"")</f>
        <v/>
      </c>
      <c r="I78" s="8" t="n"/>
      <c r="J78" s="9">
        <f>IF(ISNUMBER(I78),I78,IF(ISNUMBER(H78),H78,""))</f>
        <v/>
      </c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</row>
    <row r="79">
      <c r="A79" s="8" t="n"/>
      <c r="B79" s="9">
        <f>IF(A79="","",IFERROR(INDEX(Sessions!$R$2:$R$16,MATCH(A79,Sessions!$A$2:$A$16,0)),"?"))</f>
        <v/>
      </c>
      <c r="C79" s="8" t="n"/>
      <c r="D79" s="9">
        <f>IF(C79="","",IFERROR(INDEX(Tasks!$B$2:$B$7,MATCH(C79,Tasks!$A$2:$A$7,0)),"?"))</f>
        <v/>
      </c>
      <c r="E79" s="8" t="n"/>
      <c r="F79" s="10" t="n"/>
      <c r="G79" s="10" t="n"/>
      <c r="H79" s="9">
        <f>IF(AND(ISNUMBER(F79),ISNUMBER(G79)),ROUND((G79-F79)*86400,0),"")</f>
        <v/>
      </c>
      <c r="I79" s="8" t="n"/>
      <c r="J79" s="9">
        <f>IF(ISNUMBER(I79),I79,IF(ISNUMBER(H79),H79,""))</f>
        <v/>
      </c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</row>
    <row r="80">
      <c r="A80" s="8" t="n"/>
      <c r="B80" s="9">
        <f>IF(A80="","",IFERROR(INDEX(Sessions!$R$2:$R$16,MATCH(A80,Sessions!$A$2:$A$16,0)),"?"))</f>
        <v/>
      </c>
      <c r="C80" s="8" t="n"/>
      <c r="D80" s="9">
        <f>IF(C80="","",IFERROR(INDEX(Tasks!$B$2:$B$7,MATCH(C80,Tasks!$A$2:$A$7,0)),"?"))</f>
        <v/>
      </c>
      <c r="E80" s="8" t="n"/>
      <c r="F80" s="10" t="n"/>
      <c r="G80" s="10" t="n"/>
      <c r="H80" s="9">
        <f>IF(AND(ISNUMBER(F80),ISNUMBER(G80)),ROUND((G80-F80)*86400,0),"")</f>
        <v/>
      </c>
      <c r="I80" s="8" t="n"/>
      <c r="J80" s="9">
        <f>IF(ISNUMBER(I80),I80,IF(ISNUMBER(H80),H80,""))</f>
        <v/>
      </c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</row>
    <row r="81">
      <c r="A81" s="8" t="n"/>
      <c r="B81" s="9">
        <f>IF(A81="","",IFERROR(INDEX(Sessions!$R$2:$R$16,MATCH(A81,Sessions!$A$2:$A$16,0)),"?"))</f>
        <v/>
      </c>
      <c r="C81" s="8" t="n"/>
      <c r="D81" s="9">
        <f>IF(C81="","",IFERROR(INDEX(Tasks!$B$2:$B$7,MATCH(C81,Tasks!$A$2:$A$7,0)),"?"))</f>
        <v/>
      </c>
      <c r="E81" s="8" t="n"/>
      <c r="F81" s="10" t="n"/>
      <c r="G81" s="10" t="n"/>
      <c r="H81" s="9">
        <f>IF(AND(ISNUMBER(F81),ISNUMBER(G81)),ROUND((G81-F81)*86400,0),"")</f>
        <v/>
      </c>
      <c r="I81" s="8" t="n"/>
      <c r="J81" s="9">
        <f>IF(ISNUMBER(I81),I81,IF(ISNUMBER(H81),H81,""))</f>
        <v/>
      </c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</row>
    <row r="82">
      <c r="A82" s="8" t="n"/>
      <c r="B82" s="9">
        <f>IF(A82="","",IFERROR(INDEX(Sessions!$R$2:$R$16,MATCH(A82,Sessions!$A$2:$A$16,0)),"?"))</f>
        <v/>
      </c>
      <c r="C82" s="8" t="n"/>
      <c r="D82" s="9">
        <f>IF(C82="","",IFERROR(INDEX(Tasks!$B$2:$B$7,MATCH(C82,Tasks!$A$2:$A$7,0)),"?"))</f>
        <v/>
      </c>
      <c r="E82" s="8" t="n"/>
      <c r="F82" s="10" t="n"/>
      <c r="G82" s="10" t="n"/>
      <c r="H82" s="9">
        <f>IF(AND(ISNUMBER(F82),ISNUMBER(G82)),ROUND((G82-F82)*86400,0),"")</f>
        <v/>
      </c>
      <c r="I82" s="8" t="n"/>
      <c r="J82" s="9">
        <f>IF(ISNUMBER(I82),I82,IF(ISNUMBER(H82),H82,""))</f>
        <v/>
      </c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8" t="n"/>
      <c r="B83" s="9">
        <f>IF(A83="","",IFERROR(INDEX(Sessions!$R$2:$R$16,MATCH(A83,Sessions!$A$2:$A$16,0)),"?"))</f>
        <v/>
      </c>
      <c r="C83" s="8" t="n"/>
      <c r="D83" s="9">
        <f>IF(C83="","",IFERROR(INDEX(Tasks!$B$2:$B$7,MATCH(C83,Tasks!$A$2:$A$7,0)),"?"))</f>
        <v/>
      </c>
      <c r="E83" s="8" t="n"/>
      <c r="F83" s="10" t="n"/>
      <c r="G83" s="10" t="n"/>
      <c r="H83" s="9">
        <f>IF(AND(ISNUMBER(F83),ISNUMBER(G83)),ROUND((G83-F83)*86400,0),"")</f>
        <v/>
      </c>
      <c r="I83" s="8" t="n"/>
      <c r="J83" s="9">
        <f>IF(ISNUMBER(I83),I83,IF(ISNUMBER(H83),H83,""))</f>
        <v/>
      </c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8" t="n"/>
      <c r="B84" s="9">
        <f>IF(A84="","",IFERROR(INDEX(Sessions!$R$2:$R$16,MATCH(A84,Sessions!$A$2:$A$16,0)),"?"))</f>
        <v/>
      </c>
      <c r="C84" s="8" t="n"/>
      <c r="D84" s="9">
        <f>IF(C84="","",IFERROR(INDEX(Tasks!$B$2:$B$7,MATCH(C84,Tasks!$A$2:$A$7,0)),"?"))</f>
        <v/>
      </c>
      <c r="E84" s="8" t="n"/>
      <c r="F84" s="10" t="n"/>
      <c r="G84" s="10" t="n"/>
      <c r="H84" s="9">
        <f>IF(AND(ISNUMBER(F84),ISNUMBER(G84)),ROUND((G84-F84)*86400,0),"")</f>
        <v/>
      </c>
      <c r="I84" s="8" t="n"/>
      <c r="J84" s="9">
        <f>IF(ISNUMBER(I84),I84,IF(ISNUMBER(H84),H84,""))</f>
        <v/>
      </c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8" t="n"/>
      <c r="B85" s="9">
        <f>IF(A85="","",IFERROR(INDEX(Sessions!$R$2:$R$16,MATCH(A85,Sessions!$A$2:$A$16,0)),"?"))</f>
        <v/>
      </c>
      <c r="C85" s="8" t="n"/>
      <c r="D85" s="9">
        <f>IF(C85="","",IFERROR(INDEX(Tasks!$B$2:$B$7,MATCH(C85,Tasks!$A$2:$A$7,0)),"?"))</f>
        <v/>
      </c>
      <c r="E85" s="8" t="n"/>
      <c r="F85" s="10" t="n"/>
      <c r="G85" s="10" t="n"/>
      <c r="H85" s="9">
        <f>IF(AND(ISNUMBER(F85),ISNUMBER(G85)),ROUND((G85-F85)*86400,0),"")</f>
        <v/>
      </c>
      <c r="I85" s="8" t="n"/>
      <c r="J85" s="9">
        <f>IF(ISNUMBER(I85),I85,IF(ISNUMBER(H85),H85,""))</f>
        <v/>
      </c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8" t="n"/>
      <c r="B86" s="9">
        <f>IF(A86="","",IFERROR(INDEX(Sessions!$R$2:$R$16,MATCH(A86,Sessions!$A$2:$A$16,0)),"?"))</f>
        <v/>
      </c>
      <c r="C86" s="8" t="n"/>
      <c r="D86" s="9">
        <f>IF(C86="","",IFERROR(INDEX(Tasks!$B$2:$B$7,MATCH(C86,Tasks!$A$2:$A$7,0)),"?"))</f>
        <v/>
      </c>
      <c r="E86" s="8" t="n"/>
      <c r="F86" s="10" t="n"/>
      <c r="G86" s="10" t="n"/>
      <c r="H86" s="9">
        <f>IF(AND(ISNUMBER(F86),ISNUMBER(G86)),ROUND((G86-F86)*86400,0),"")</f>
        <v/>
      </c>
      <c r="I86" s="8" t="n"/>
      <c r="J86" s="9">
        <f>IF(ISNUMBER(I86),I86,IF(ISNUMBER(H86),H86,""))</f>
        <v/>
      </c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8" t="n"/>
      <c r="B87" s="9">
        <f>IF(A87="","",IFERROR(INDEX(Sessions!$R$2:$R$16,MATCH(A87,Sessions!$A$2:$A$16,0)),"?"))</f>
        <v/>
      </c>
      <c r="C87" s="8" t="n"/>
      <c r="D87" s="9">
        <f>IF(C87="","",IFERROR(INDEX(Tasks!$B$2:$B$7,MATCH(C87,Tasks!$A$2:$A$7,0)),"?"))</f>
        <v/>
      </c>
      <c r="E87" s="8" t="n"/>
      <c r="F87" s="10" t="n"/>
      <c r="G87" s="10" t="n"/>
      <c r="H87" s="9">
        <f>IF(AND(ISNUMBER(F87),ISNUMBER(G87)),ROUND((G87-F87)*86400,0),"")</f>
        <v/>
      </c>
      <c r="I87" s="8" t="n"/>
      <c r="J87" s="9">
        <f>IF(ISNUMBER(I87),I87,IF(ISNUMBER(H87),H87,""))</f>
        <v/>
      </c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8" t="n"/>
      <c r="B88" s="9">
        <f>IF(A88="","",IFERROR(INDEX(Sessions!$R$2:$R$16,MATCH(A88,Sessions!$A$2:$A$16,0)),"?"))</f>
        <v/>
      </c>
      <c r="C88" s="8" t="n"/>
      <c r="D88" s="9">
        <f>IF(C88="","",IFERROR(INDEX(Tasks!$B$2:$B$7,MATCH(C88,Tasks!$A$2:$A$7,0)),"?"))</f>
        <v/>
      </c>
      <c r="E88" s="8" t="n"/>
      <c r="F88" s="10" t="n"/>
      <c r="G88" s="10" t="n"/>
      <c r="H88" s="9">
        <f>IF(AND(ISNUMBER(F88),ISNUMBER(G88)),ROUND((G88-F88)*86400,0),"")</f>
        <v/>
      </c>
      <c r="I88" s="8" t="n"/>
      <c r="J88" s="9">
        <f>IF(ISNUMBER(I88),I88,IF(ISNUMBER(H88),H88,""))</f>
        <v/>
      </c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</row>
    <row r="89">
      <c r="A89" s="8" t="n"/>
      <c r="B89" s="9">
        <f>IF(A89="","",IFERROR(INDEX(Sessions!$R$2:$R$16,MATCH(A89,Sessions!$A$2:$A$16,0)),"?"))</f>
        <v/>
      </c>
      <c r="C89" s="8" t="n"/>
      <c r="D89" s="9">
        <f>IF(C89="","",IFERROR(INDEX(Tasks!$B$2:$B$7,MATCH(C89,Tasks!$A$2:$A$7,0)),"?"))</f>
        <v/>
      </c>
      <c r="E89" s="8" t="n"/>
      <c r="F89" s="10" t="n"/>
      <c r="G89" s="10" t="n"/>
      <c r="H89" s="9">
        <f>IF(AND(ISNUMBER(F89),ISNUMBER(G89)),ROUND((G89-F89)*86400,0),"")</f>
        <v/>
      </c>
      <c r="I89" s="8" t="n"/>
      <c r="J89" s="9">
        <f>IF(ISNUMBER(I89),I89,IF(ISNUMBER(H89),H89,""))</f>
        <v/>
      </c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</row>
    <row r="90">
      <c r="A90" s="8" t="n"/>
      <c r="B90" s="9">
        <f>IF(A90="","",IFERROR(INDEX(Sessions!$R$2:$R$16,MATCH(A90,Sessions!$A$2:$A$16,0)),"?"))</f>
        <v/>
      </c>
      <c r="C90" s="8" t="n"/>
      <c r="D90" s="9">
        <f>IF(C90="","",IFERROR(INDEX(Tasks!$B$2:$B$7,MATCH(C90,Tasks!$A$2:$A$7,0)),"?"))</f>
        <v/>
      </c>
      <c r="E90" s="8" t="n"/>
      <c r="F90" s="10" t="n"/>
      <c r="G90" s="10" t="n"/>
      <c r="H90" s="9">
        <f>IF(AND(ISNUMBER(F90),ISNUMBER(G90)),ROUND((G90-F90)*86400,0),"")</f>
        <v/>
      </c>
      <c r="I90" s="8" t="n"/>
      <c r="J90" s="9">
        <f>IF(ISNUMBER(I90),I90,IF(ISNUMBER(H90),H90,""))</f>
        <v/>
      </c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</row>
    <row r="91">
      <c r="A91" s="8" t="n"/>
      <c r="B91" s="9">
        <f>IF(A91="","",IFERROR(INDEX(Sessions!$R$2:$R$16,MATCH(A91,Sessions!$A$2:$A$16,0)),"?"))</f>
        <v/>
      </c>
      <c r="C91" s="8" t="n"/>
      <c r="D91" s="9">
        <f>IF(C91="","",IFERROR(INDEX(Tasks!$B$2:$B$7,MATCH(C91,Tasks!$A$2:$A$7,0)),"?"))</f>
        <v/>
      </c>
      <c r="E91" s="8" t="n"/>
      <c r="F91" s="10" t="n"/>
      <c r="G91" s="10" t="n"/>
      <c r="H91" s="9">
        <f>IF(AND(ISNUMBER(F91),ISNUMBER(G91)),ROUND((G91-F91)*86400,0),"")</f>
        <v/>
      </c>
      <c r="I91" s="8" t="n"/>
      <c r="J91" s="9">
        <f>IF(ISNUMBER(I91),I91,IF(ISNUMBER(H91),H91,""))</f>
        <v/>
      </c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</row>
    <row r="92">
      <c r="A92" s="8" t="n"/>
      <c r="B92" s="9">
        <f>IF(A92="","",IFERROR(INDEX(Sessions!$R$2:$R$16,MATCH(A92,Sessions!$A$2:$A$16,0)),"?"))</f>
        <v/>
      </c>
      <c r="C92" s="8" t="n"/>
      <c r="D92" s="9">
        <f>IF(C92="","",IFERROR(INDEX(Tasks!$B$2:$B$7,MATCH(C92,Tasks!$A$2:$A$7,0)),"?"))</f>
        <v/>
      </c>
      <c r="E92" s="8" t="n"/>
      <c r="F92" s="10" t="n"/>
      <c r="G92" s="10" t="n"/>
      <c r="H92" s="9">
        <f>IF(AND(ISNUMBER(F92),ISNUMBER(G92)),ROUND((G92-F92)*86400,0),"")</f>
        <v/>
      </c>
      <c r="I92" s="8" t="n"/>
      <c r="J92" s="9">
        <f>IF(ISNUMBER(I92),I92,IF(ISNUMBER(H92),H92,""))</f>
        <v/>
      </c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</row>
    <row r="93">
      <c r="A93" s="8" t="n"/>
      <c r="B93" s="9">
        <f>IF(A93="","",IFERROR(INDEX(Sessions!$R$2:$R$16,MATCH(A93,Sessions!$A$2:$A$16,0)),"?"))</f>
        <v/>
      </c>
      <c r="C93" s="8" t="n"/>
      <c r="D93" s="9">
        <f>IF(C93="","",IFERROR(INDEX(Tasks!$B$2:$B$7,MATCH(C93,Tasks!$A$2:$A$7,0)),"?"))</f>
        <v/>
      </c>
      <c r="E93" s="8" t="n"/>
      <c r="F93" s="10" t="n"/>
      <c r="G93" s="10" t="n"/>
      <c r="H93" s="9">
        <f>IF(AND(ISNUMBER(F93),ISNUMBER(G93)),ROUND((G93-F93)*86400,0),"")</f>
        <v/>
      </c>
      <c r="I93" s="8" t="n"/>
      <c r="J93" s="9">
        <f>IF(ISNUMBER(I93),I93,IF(ISNUMBER(H93),H93,""))</f>
        <v/>
      </c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</row>
    <row r="94">
      <c r="A94" s="8" t="n"/>
      <c r="B94" s="9">
        <f>IF(A94="","",IFERROR(INDEX(Sessions!$R$2:$R$16,MATCH(A94,Sessions!$A$2:$A$16,0)),"?"))</f>
        <v/>
      </c>
      <c r="C94" s="8" t="n"/>
      <c r="D94" s="9">
        <f>IF(C94="","",IFERROR(INDEX(Tasks!$B$2:$B$7,MATCH(C94,Tasks!$A$2:$A$7,0)),"?"))</f>
        <v/>
      </c>
      <c r="E94" s="8" t="n"/>
      <c r="F94" s="10" t="n"/>
      <c r="G94" s="10" t="n"/>
      <c r="H94" s="9">
        <f>IF(AND(ISNUMBER(F94),ISNUMBER(G94)),ROUND((G94-F94)*86400,0),"")</f>
        <v/>
      </c>
      <c r="I94" s="8" t="n"/>
      <c r="J94" s="9">
        <f>IF(ISNUMBER(I94),I94,IF(ISNUMBER(H94),H94,""))</f>
        <v/>
      </c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8" t="n"/>
      <c r="B95" s="9">
        <f>IF(A95="","",IFERROR(INDEX(Sessions!$R$2:$R$16,MATCH(A95,Sessions!$A$2:$A$16,0)),"?"))</f>
        <v/>
      </c>
      <c r="C95" s="8" t="n"/>
      <c r="D95" s="9">
        <f>IF(C95="","",IFERROR(INDEX(Tasks!$B$2:$B$7,MATCH(C95,Tasks!$A$2:$A$7,0)),"?"))</f>
        <v/>
      </c>
      <c r="E95" s="8" t="n"/>
      <c r="F95" s="10" t="n"/>
      <c r="G95" s="10" t="n"/>
      <c r="H95" s="9">
        <f>IF(AND(ISNUMBER(F95),ISNUMBER(G95)),ROUND((G95-F95)*86400,0),"")</f>
        <v/>
      </c>
      <c r="I95" s="8" t="n"/>
      <c r="J95" s="9">
        <f>IF(ISNUMBER(I95),I95,IF(ISNUMBER(H95),H95,""))</f>
        <v/>
      </c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8" t="n"/>
      <c r="B96" s="9">
        <f>IF(A96="","",IFERROR(INDEX(Sessions!$R$2:$R$16,MATCH(A96,Sessions!$A$2:$A$16,0)),"?"))</f>
        <v/>
      </c>
      <c r="C96" s="8" t="n"/>
      <c r="D96" s="9">
        <f>IF(C96="","",IFERROR(INDEX(Tasks!$B$2:$B$7,MATCH(C96,Tasks!$A$2:$A$7,0)),"?"))</f>
        <v/>
      </c>
      <c r="E96" s="8" t="n"/>
      <c r="F96" s="10" t="n"/>
      <c r="G96" s="10" t="n"/>
      <c r="H96" s="9">
        <f>IF(AND(ISNUMBER(F96),ISNUMBER(G96)),ROUND((G96-F96)*86400,0),"")</f>
        <v/>
      </c>
      <c r="I96" s="8" t="n"/>
      <c r="J96" s="9">
        <f>IF(ISNUMBER(I96),I96,IF(ISNUMBER(H96),H96,""))</f>
        <v/>
      </c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8" t="n"/>
      <c r="B97" s="9">
        <f>IF(A97="","",IFERROR(INDEX(Sessions!$R$2:$R$16,MATCH(A97,Sessions!$A$2:$A$16,0)),"?"))</f>
        <v/>
      </c>
      <c r="C97" s="8" t="n"/>
      <c r="D97" s="9">
        <f>IF(C97="","",IFERROR(INDEX(Tasks!$B$2:$B$7,MATCH(C97,Tasks!$A$2:$A$7,0)),"?"))</f>
        <v/>
      </c>
      <c r="E97" s="8" t="n"/>
      <c r="F97" s="10" t="n"/>
      <c r="G97" s="10" t="n"/>
      <c r="H97" s="9">
        <f>IF(AND(ISNUMBER(F97),ISNUMBER(G97)),ROUND((G97-F97)*86400,0),"")</f>
        <v/>
      </c>
      <c r="I97" s="8" t="n"/>
      <c r="J97" s="9">
        <f>IF(ISNUMBER(I97),I97,IF(ISNUMBER(H97),H97,""))</f>
        <v/>
      </c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8" t="n"/>
      <c r="B98" s="9">
        <f>IF(A98="","",IFERROR(INDEX(Sessions!$R$2:$R$16,MATCH(A98,Sessions!$A$2:$A$16,0)),"?"))</f>
        <v/>
      </c>
      <c r="C98" s="8" t="n"/>
      <c r="D98" s="9">
        <f>IF(C98="","",IFERROR(INDEX(Tasks!$B$2:$B$7,MATCH(C98,Tasks!$A$2:$A$7,0)),"?"))</f>
        <v/>
      </c>
      <c r="E98" s="8" t="n"/>
      <c r="F98" s="10" t="n"/>
      <c r="G98" s="10" t="n"/>
      <c r="H98" s="9">
        <f>IF(AND(ISNUMBER(F98),ISNUMBER(G98)),ROUND((G98-F98)*86400,0),"")</f>
        <v/>
      </c>
      <c r="I98" s="8" t="n"/>
      <c r="J98" s="9">
        <f>IF(ISNUMBER(I98),I98,IF(ISNUMBER(H98),H98,""))</f>
        <v/>
      </c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8" t="n"/>
      <c r="B99" s="9">
        <f>IF(A99="","",IFERROR(INDEX(Sessions!$R$2:$R$16,MATCH(A99,Sessions!$A$2:$A$16,0)),"?"))</f>
        <v/>
      </c>
      <c r="C99" s="8" t="n"/>
      <c r="D99" s="9">
        <f>IF(C99="","",IFERROR(INDEX(Tasks!$B$2:$B$7,MATCH(C99,Tasks!$A$2:$A$7,0)),"?"))</f>
        <v/>
      </c>
      <c r="E99" s="8" t="n"/>
      <c r="F99" s="10" t="n"/>
      <c r="G99" s="10" t="n"/>
      <c r="H99" s="9">
        <f>IF(AND(ISNUMBER(F99),ISNUMBER(G99)),ROUND((G99-F99)*86400,0),"")</f>
        <v/>
      </c>
      <c r="I99" s="8" t="n"/>
      <c r="J99" s="9">
        <f>IF(ISNUMBER(I99),I99,IF(ISNUMBER(H99),H99,""))</f>
        <v/>
      </c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8" t="n"/>
      <c r="B100" s="9">
        <f>IF(A100="","",IFERROR(INDEX(Sessions!$R$2:$R$16,MATCH(A100,Sessions!$A$2:$A$16,0)),"?"))</f>
        <v/>
      </c>
      <c r="C100" s="8" t="n"/>
      <c r="D100" s="9">
        <f>IF(C100="","",IFERROR(INDEX(Tasks!$B$2:$B$7,MATCH(C100,Tasks!$A$2:$A$7,0)),"?"))</f>
        <v/>
      </c>
      <c r="E100" s="8" t="n"/>
      <c r="F100" s="10" t="n"/>
      <c r="G100" s="10" t="n"/>
      <c r="H100" s="9">
        <f>IF(AND(ISNUMBER(F100),ISNUMBER(G100)),ROUND((G100-F100)*86400,0),"")</f>
        <v/>
      </c>
      <c r="I100" s="8" t="n"/>
      <c r="J100" s="9">
        <f>IF(ISNUMBER(I100),I100,IF(ISNUMBER(H100),H100,""))</f>
        <v/>
      </c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</row>
    <row r="101">
      <c r="A101" s="8" t="n"/>
      <c r="B101" s="9">
        <f>IF(A101="","",IFERROR(INDEX(Sessions!$R$2:$R$16,MATCH(A101,Sessions!$A$2:$A$16,0)),"?"))</f>
        <v/>
      </c>
      <c r="C101" s="8" t="n"/>
      <c r="D101" s="9">
        <f>IF(C101="","",IFERROR(INDEX(Tasks!$B$2:$B$7,MATCH(C101,Tasks!$A$2:$A$7,0)),"?"))</f>
        <v/>
      </c>
      <c r="E101" s="8" t="n"/>
      <c r="F101" s="10" t="n"/>
      <c r="G101" s="10" t="n"/>
      <c r="H101" s="9">
        <f>IF(AND(ISNUMBER(F101),ISNUMBER(G101)),ROUND((G101-F101)*86400,0),"")</f>
        <v/>
      </c>
      <c r="I101" s="8" t="n"/>
      <c r="J101" s="9">
        <f>IF(ISNUMBER(I101),I101,IF(ISNUMBER(H101),H101,""))</f>
        <v/>
      </c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</row>
    <row r="102">
      <c r="A102" s="8" t="n"/>
      <c r="B102" s="9">
        <f>IF(A102="","",IFERROR(INDEX(Sessions!$R$2:$R$16,MATCH(A102,Sessions!$A$2:$A$16,0)),"?"))</f>
        <v/>
      </c>
      <c r="C102" s="8" t="n"/>
      <c r="D102" s="9">
        <f>IF(C102="","",IFERROR(INDEX(Tasks!$B$2:$B$7,MATCH(C102,Tasks!$A$2:$A$7,0)),"?"))</f>
        <v/>
      </c>
      <c r="E102" s="8" t="n"/>
      <c r="F102" s="10" t="n"/>
      <c r="G102" s="10" t="n"/>
      <c r="H102" s="9">
        <f>IF(AND(ISNUMBER(F102),ISNUMBER(G102)),ROUND((G102-F102)*86400,0),"")</f>
        <v/>
      </c>
      <c r="I102" s="8" t="n"/>
      <c r="J102" s="9">
        <f>IF(ISNUMBER(I102),I102,IF(ISNUMBER(H102),H102,""))</f>
        <v/>
      </c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</row>
    <row r="103">
      <c r="A103" s="8" t="n"/>
      <c r="B103" s="9">
        <f>IF(A103="","",IFERROR(INDEX(Sessions!$R$2:$R$16,MATCH(A103,Sessions!$A$2:$A$16,0)),"?"))</f>
        <v/>
      </c>
      <c r="C103" s="8" t="n"/>
      <c r="D103" s="9">
        <f>IF(C103="","",IFERROR(INDEX(Tasks!$B$2:$B$7,MATCH(C103,Tasks!$A$2:$A$7,0)),"?"))</f>
        <v/>
      </c>
      <c r="E103" s="8" t="n"/>
      <c r="F103" s="10" t="n"/>
      <c r="G103" s="10" t="n"/>
      <c r="H103" s="9">
        <f>IF(AND(ISNUMBER(F103),ISNUMBER(G103)),ROUND((G103-F103)*86400,0),"")</f>
        <v/>
      </c>
      <c r="I103" s="8" t="n"/>
      <c r="J103" s="9">
        <f>IF(ISNUMBER(I103),I103,IF(ISNUMBER(H103),H103,""))</f>
        <v/>
      </c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</row>
    <row r="104">
      <c r="A104" s="8" t="n"/>
      <c r="B104" s="9">
        <f>IF(A104="","",IFERROR(INDEX(Sessions!$R$2:$R$16,MATCH(A104,Sessions!$A$2:$A$16,0)),"?"))</f>
        <v/>
      </c>
      <c r="C104" s="8" t="n"/>
      <c r="D104" s="9">
        <f>IF(C104="","",IFERROR(INDEX(Tasks!$B$2:$B$7,MATCH(C104,Tasks!$A$2:$A$7,0)),"?"))</f>
        <v/>
      </c>
      <c r="E104" s="8" t="n"/>
      <c r="F104" s="10" t="n"/>
      <c r="G104" s="10" t="n"/>
      <c r="H104" s="9">
        <f>IF(AND(ISNUMBER(F104),ISNUMBER(G104)),ROUND((G104-F104)*86400,0),"")</f>
        <v/>
      </c>
      <c r="I104" s="8" t="n"/>
      <c r="J104" s="9">
        <f>IF(ISNUMBER(I104),I104,IF(ISNUMBER(H104),H104,""))</f>
        <v/>
      </c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</row>
    <row r="105">
      <c r="A105" s="8" t="n"/>
      <c r="B105" s="9">
        <f>IF(A105="","",IFERROR(INDEX(Sessions!$R$2:$R$16,MATCH(A105,Sessions!$A$2:$A$16,0)),"?"))</f>
        <v/>
      </c>
      <c r="C105" s="8" t="n"/>
      <c r="D105" s="9">
        <f>IF(C105="","",IFERROR(INDEX(Tasks!$B$2:$B$7,MATCH(C105,Tasks!$A$2:$A$7,0)),"?"))</f>
        <v/>
      </c>
      <c r="E105" s="8" t="n"/>
      <c r="F105" s="10" t="n"/>
      <c r="G105" s="10" t="n"/>
      <c r="H105" s="9">
        <f>IF(AND(ISNUMBER(F105),ISNUMBER(G105)),ROUND((G105-F105)*86400,0),"")</f>
        <v/>
      </c>
      <c r="I105" s="8" t="n"/>
      <c r="J105" s="9">
        <f>IF(ISNUMBER(I105),I105,IF(ISNUMBER(H105),H105,""))</f>
        <v/>
      </c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</row>
    <row r="106">
      <c r="A106" s="8" t="n"/>
      <c r="B106" s="9">
        <f>IF(A106="","",IFERROR(INDEX(Sessions!$R$2:$R$16,MATCH(A106,Sessions!$A$2:$A$16,0)),"?"))</f>
        <v/>
      </c>
      <c r="C106" s="8" t="n"/>
      <c r="D106" s="9">
        <f>IF(C106="","",IFERROR(INDEX(Tasks!$B$2:$B$7,MATCH(C106,Tasks!$A$2:$A$7,0)),"?"))</f>
        <v/>
      </c>
      <c r="E106" s="8" t="n"/>
      <c r="F106" s="10" t="n"/>
      <c r="G106" s="10" t="n"/>
      <c r="H106" s="9">
        <f>IF(AND(ISNUMBER(F106),ISNUMBER(G106)),ROUND((G106-F106)*86400,0),"")</f>
        <v/>
      </c>
      <c r="I106" s="8" t="n"/>
      <c r="J106" s="9">
        <f>IF(ISNUMBER(I106),I106,IF(ISNUMBER(H106),H106,""))</f>
        <v/>
      </c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8" t="n"/>
      <c r="B107" s="9">
        <f>IF(A107="","",IFERROR(INDEX(Sessions!$R$2:$R$16,MATCH(A107,Sessions!$A$2:$A$16,0)),"?"))</f>
        <v/>
      </c>
      <c r="C107" s="8" t="n"/>
      <c r="D107" s="9">
        <f>IF(C107="","",IFERROR(INDEX(Tasks!$B$2:$B$7,MATCH(C107,Tasks!$A$2:$A$7,0)),"?"))</f>
        <v/>
      </c>
      <c r="E107" s="8" t="n"/>
      <c r="F107" s="10" t="n"/>
      <c r="G107" s="10" t="n"/>
      <c r="H107" s="9">
        <f>IF(AND(ISNUMBER(F107),ISNUMBER(G107)),ROUND((G107-F107)*86400,0),"")</f>
        <v/>
      </c>
      <c r="I107" s="8" t="n"/>
      <c r="J107" s="9">
        <f>IF(ISNUMBER(I107),I107,IF(ISNUMBER(H107),H107,""))</f>
        <v/>
      </c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8" t="n"/>
      <c r="B108" s="9">
        <f>IF(A108="","",IFERROR(INDEX(Sessions!$R$2:$R$16,MATCH(A108,Sessions!$A$2:$A$16,0)),"?"))</f>
        <v/>
      </c>
      <c r="C108" s="8" t="n"/>
      <c r="D108" s="9">
        <f>IF(C108="","",IFERROR(INDEX(Tasks!$B$2:$B$7,MATCH(C108,Tasks!$A$2:$A$7,0)),"?"))</f>
        <v/>
      </c>
      <c r="E108" s="8" t="n"/>
      <c r="F108" s="10" t="n"/>
      <c r="G108" s="10" t="n"/>
      <c r="H108" s="9">
        <f>IF(AND(ISNUMBER(F108),ISNUMBER(G108)),ROUND((G108-F108)*86400,0),"")</f>
        <v/>
      </c>
      <c r="I108" s="8" t="n"/>
      <c r="J108" s="9">
        <f>IF(ISNUMBER(I108),I108,IF(ISNUMBER(H108),H108,""))</f>
        <v/>
      </c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8" t="n"/>
      <c r="B109" s="9">
        <f>IF(A109="","",IFERROR(INDEX(Sessions!$R$2:$R$16,MATCH(A109,Sessions!$A$2:$A$16,0)),"?"))</f>
        <v/>
      </c>
      <c r="C109" s="8" t="n"/>
      <c r="D109" s="9">
        <f>IF(C109="","",IFERROR(INDEX(Tasks!$B$2:$B$7,MATCH(C109,Tasks!$A$2:$A$7,0)),"?"))</f>
        <v/>
      </c>
      <c r="E109" s="8" t="n"/>
      <c r="F109" s="10" t="n"/>
      <c r="G109" s="10" t="n"/>
      <c r="H109" s="9">
        <f>IF(AND(ISNUMBER(F109),ISNUMBER(G109)),ROUND((G109-F109)*86400,0),"")</f>
        <v/>
      </c>
      <c r="I109" s="8" t="n"/>
      <c r="J109" s="9">
        <f>IF(ISNUMBER(I109),I109,IF(ISNUMBER(H109),H109,""))</f>
        <v/>
      </c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8" t="n"/>
      <c r="B110" s="9">
        <f>IF(A110="","",IFERROR(INDEX(Sessions!$R$2:$R$16,MATCH(A110,Sessions!$A$2:$A$16,0)),"?"))</f>
        <v/>
      </c>
      <c r="C110" s="8" t="n"/>
      <c r="D110" s="9">
        <f>IF(C110="","",IFERROR(INDEX(Tasks!$B$2:$B$7,MATCH(C110,Tasks!$A$2:$A$7,0)),"?"))</f>
        <v/>
      </c>
      <c r="E110" s="8" t="n"/>
      <c r="F110" s="10" t="n"/>
      <c r="G110" s="10" t="n"/>
      <c r="H110" s="9">
        <f>IF(AND(ISNUMBER(F110),ISNUMBER(G110)),ROUND((G110-F110)*86400,0),"")</f>
        <v/>
      </c>
      <c r="I110" s="8" t="n"/>
      <c r="J110" s="9">
        <f>IF(ISNUMBER(I110),I110,IF(ISNUMBER(H110),H110,""))</f>
        <v/>
      </c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8" t="n"/>
      <c r="B111" s="9">
        <f>IF(A111="","",IFERROR(INDEX(Sessions!$R$2:$R$16,MATCH(A111,Sessions!$A$2:$A$16,0)),"?"))</f>
        <v/>
      </c>
      <c r="C111" s="8" t="n"/>
      <c r="D111" s="9">
        <f>IF(C111="","",IFERROR(INDEX(Tasks!$B$2:$B$7,MATCH(C111,Tasks!$A$2:$A$7,0)),"?"))</f>
        <v/>
      </c>
      <c r="E111" s="8" t="n"/>
      <c r="F111" s="10" t="n"/>
      <c r="G111" s="10" t="n"/>
      <c r="H111" s="9">
        <f>IF(AND(ISNUMBER(F111),ISNUMBER(G111)),ROUND((G111-F111)*86400,0),"")</f>
        <v/>
      </c>
      <c r="I111" s="8" t="n"/>
      <c r="J111" s="9">
        <f>IF(ISNUMBER(I111),I111,IF(ISNUMBER(H111),H111,""))</f>
        <v/>
      </c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8" t="n"/>
      <c r="B112" s="9">
        <f>IF(A112="","",IFERROR(INDEX(Sessions!$R$2:$R$16,MATCH(A112,Sessions!$A$2:$A$16,0)),"?"))</f>
        <v/>
      </c>
      <c r="C112" s="8" t="n"/>
      <c r="D112" s="9">
        <f>IF(C112="","",IFERROR(INDEX(Tasks!$B$2:$B$7,MATCH(C112,Tasks!$A$2:$A$7,0)),"?"))</f>
        <v/>
      </c>
      <c r="E112" s="8" t="n"/>
      <c r="F112" s="10" t="n"/>
      <c r="G112" s="10" t="n"/>
      <c r="H112" s="9">
        <f>IF(AND(ISNUMBER(F112),ISNUMBER(G112)),ROUND((G112-F112)*86400,0),"")</f>
        <v/>
      </c>
      <c r="I112" s="8" t="n"/>
      <c r="J112" s="9">
        <f>IF(ISNUMBER(I112),I112,IF(ISNUMBER(H112),H112,""))</f>
        <v/>
      </c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</row>
    <row r="113">
      <c r="A113" s="8" t="n"/>
      <c r="B113" s="9">
        <f>IF(A113="","",IFERROR(INDEX(Sessions!$R$2:$R$16,MATCH(A113,Sessions!$A$2:$A$16,0)),"?"))</f>
        <v/>
      </c>
      <c r="C113" s="8" t="n"/>
      <c r="D113" s="9">
        <f>IF(C113="","",IFERROR(INDEX(Tasks!$B$2:$B$7,MATCH(C113,Tasks!$A$2:$A$7,0)),"?"))</f>
        <v/>
      </c>
      <c r="E113" s="8" t="n"/>
      <c r="F113" s="10" t="n"/>
      <c r="G113" s="10" t="n"/>
      <c r="H113" s="9">
        <f>IF(AND(ISNUMBER(F113),ISNUMBER(G113)),ROUND((G113-F113)*86400,0),"")</f>
        <v/>
      </c>
      <c r="I113" s="8" t="n"/>
      <c r="J113" s="9">
        <f>IF(ISNUMBER(I113),I113,IF(ISNUMBER(H113),H113,""))</f>
        <v/>
      </c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</row>
    <row r="114">
      <c r="A114" s="8" t="n"/>
      <c r="B114" s="9">
        <f>IF(A114="","",IFERROR(INDEX(Sessions!$R$2:$R$16,MATCH(A114,Sessions!$A$2:$A$16,0)),"?"))</f>
        <v/>
      </c>
      <c r="C114" s="8" t="n"/>
      <c r="D114" s="9">
        <f>IF(C114="","",IFERROR(INDEX(Tasks!$B$2:$B$7,MATCH(C114,Tasks!$A$2:$A$7,0)),"?"))</f>
        <v/>
      </c>
      <c r="E114" s="8" t="n"/>
      <c r="F114" s="10" t="n"/>
      <c r="G114" s="10" t="n"/>
      <c r="H114" s="9">
        <f>IF(AND(ISNUMBER(F114),ISNUMBER(G114)),ROUND((G114-F114)*86400,0),"")</f>
        <v/>
      </c>
      <c r="I114" s="8" t="n"/>
      <c r="J114" s="9">
        <f>IF(ISNUMBER(I114),I114,IF(ISNUMBER(H114),H114,""))</f>
        <v/>
      </c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</row>
    <row r="115">
      <c r="A115" s="8" t="n"/>
      <c r="B115" s="9">
        <f>IF(A115="","",IFERROR(INDEX(Sessions!$R$2:$R$16,MATCH(A115,Sessions!$A$2:$A$16,0)),"?"))</f>
        <v/>
      </c>
      <c r="C115" s="8" t="n"/>
      <c r="D115" s="9">
        <f>IF(C115="","",IFERROR(INDEX(Tasks!$B$2:$B$7,MATCH(C115,Tasks!$A$2:$A$7,0)),"?"))</f>
        <v/>
      </c>
      <c r="E115" s="8" t="n"/>
      <c r="F115" s="10" t="n"/>
      <c r="G115" s="10" t="n"/>
      <c r="H115" s="9">
        <f>IF(AND(ISNUMBER(F115),ISNUMBER(G115)),ROUND((G115-F115)*86400,0),"")</f>
        <v/>
      </c>
      <c r="I115" s="8" t="n"/>
      <c r="J115" s="9">
        <f>IF(ISNUMBER(I115),I115,IF(ISNUMBER(H115),H115,""))</f>
        <v/>
      </c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</row>
    <row r="116">
      <c r="A116" s="8" t="n"/>
      <c r="B116" s="9">
        <f>IF(A116="","",IFERROR(INDEX(Sessions!$R$2:$R$16,MATCH(A116,Sessions!$A$2:$A$16,0)),"?"))</f>
        <v/>
      </c>
      <c r="C116" s="8" t="n"/>
      <c r="D116" s="9">
        <f>IF(C116="","",IFERROR(INDEX(Tasks!$B$2:$B$7,MATCH(C116,Tasks!$A$2:$A$7,0)),"?"))</f>
        <v/>
      </c>
      <c r="E116" s="8" t="n"/>
      <c r="F116" s="10" t="n"/>
      <c r="G116" s="10" t="n"/>
      <c r="H116" s="9">
        <f>IF(AND(ISNUMBER(F116),ISNUMBER(G116)),ROUND((G116-F116)*86400,0),"")</f>
        <v/>
      </c>
      <c r="I116" s="8" t="n"/>
      <c r="J116" s="9">
        <f>IF(ISNUMBER(I116),I116,IF(ISNUMBER(H116),H116,""))</f>
        <v/>
      </c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</row>
    <row r="117">
      <c r="A117" s="8" t="n"/>
      <c r="B117" s="9">
        <f>IF(A117="","",IFERROR(INDEX(Sessions!$R$2:$R$16,MATCH(A117,Sessions!$A$2:$A$16,0)),"?"))</f>
        <v/>
      </c>
      <c r="C117" s="8" t="n"/>
      <c r="D117" s="9">
        <f>IF(C117="","",IFERROR(INDEX(Tasks!$B$2:$B$7,MATCH(C117,Tasks!$A$2:$A$7,0)),"?"))</f>
        <v/>
      </c>
      <c r="E117" s="8" t="n"/>
      <c r="F117" s="10" t="n"/>
      <c r="G117" s="10" t="n"/>
      <c r="H117" s="9">
        <f>IF(AND(ISNUMBER(F117),ISNUMBER(G117)),ROUND((G117-F117)*86400,0),"")</f>
        <v/>
      </c>
      <c r="I117" s="8" t="n"/>
      <c r="J117" s="9">
        <f>IF(ISNUMBER(I117),I117,IF(ISNUMBER(H117),H117,""))</f>
        <v/>
      </c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</row>
    <row r="118">
      <c r="A118" s="8" t="n"/>
      <c r="B118" s="9">
        <f>IF(A118="","",IFERROR(INDEX(Sessions!$R$2:$R$16,MATCH(A118,Sessions!$A$2:$A$16,0)),"?"))</f>
        <v/>
      </c>
      <c r="C118" s="8" t="n"/>
      <c r="D118" s="9">
        <f>IF(C118="","",IFERROR(INDEX(Tasks!$B$2:$B$7,MATCH(C118,Tasks!$A$2:$A$7,0)),"?"))</f>
        <v/>
      </c>
      <c r="E118" s="8" t="n"/>
      <c r="F118" s="10" t="n"/>
      <c r="G118" s="10" t="n"/>
      <c r="H118" s="9">
        <f>IF(AND(ISNUMBER(F118),ISNUMBER(G118)),ROUND((G118-F118)*86400,0),"")</f>
        <v/>
      </c>
      <c r="I118" s="8" t="n"/>
      <c r="J118" s="9">
        <f>IF(ISNUMBER(I118),I118,IF(ISNUMBER(H118),H118,""))</f>
        <v/>
      </c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8" t="n"/>
      <c r="B119" s="9">
        <f>IF(A119="","",IFERROR(INDEX(Sessions!$R$2:$R$16,MATCH(A119,Sessions!$A$2:$A$16,0)),"?"))</f>
        <v/>
      </c>
      <c r="C119" s="8" t="n"/>
      <c r="D119" s="9">
        <f>IF(C119="","",IFERROR(INDEX(Tasks!$B$2:$B$7,MATCH(C119,Tasks!$A$2:$A$7,0)),"?"))</f>
        <v/>
      </c>
      <c r="E119" s="8" t="n"/>
      <c r="F119" s="10" t="n"/>
      <c r="G119" s="10" t="n"/>
      <c r="H119" s="9">
        <f>IF(AND(ISNUMBER(F119),ISNUMBER(G119)),ROUND((G119-F119)*86400,0),"")</f>
        <v/>
      </c>
      <c r="I119" s="8" t="n"/>
      <c r="J119" s="9">
        <f>IF(ISNUMBER(I119),I119,IF(ISNUMBER(H119),H119,""))</f>
        <v/>
      </c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8" t="n"/>
      <c r="B120" s="9">
        <f>IF(A120="","",IFERROR(INDEX(Sessions!$R$2:$R$16,MATCH(A120,Sessions!$A$2:$A$16,0)),"?"))</f>
        <v/>
      </c>
      <c r="C120" s="8" t="n"/>
      <c r="D120" s="9">
        <f>IF(C120="","",IFERROR(INDEX(Tasks!$B$2:$B$7,MATCH(C120,Tasks!$A$2:$A$7,0)),"?"))</f>
        <v/>
      </c>
      <c r="E120" s="8" t="n"/>
      <c r="F120" s="10" t="n"/>
      <c r="G120" s="10" t="n"/>
      <c r="H120" s="9">
        <f>IF(AND(ISNUMBER(F120),ISNUMBER(G120)),ROUND((G120-F120)*86400,0),"")</f>
        <v/>
      </c>
      <c r="I120" s="8" t="n"/>
      <c r="J120" s="9">
        <f>IF(ISNUMBER(I120),I120,IF(ISNUMBER(H120),H120,""))</f>
        <v/>
      </c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8" t="n"/>
      <c r="B121" s="9">
        <f>IF(A121="","",IFERROR(INDEX(Sessions!$R$2:$R$16,MATCH(A121,Sessions!$A$2:$A$16,0)),"?"))</f>
        <v/>
      </c>
      <c r="C121" s="8" t="n"/>
      <c r="D121" s="9">
        <f>IF(C121="","",IFERROR(INDEX(Tasks!$B$2:$B$7,MATCH(C121,Tasks!$A$2:$A$7,0)),"?"))</f>
        <v/>
      </c>
      <c r="E121" s="8" t="n"/>
      <c r="F121" s="10" t="n"/>
      <c r="G121" s="10" t="n"/>
      <c r="H121" s="9">
        <f>IF(AND(ISNUMBER(F121),ISNUMBER(G121)),ROUND((G121-F121)*86400,0),"")</f>
        <v/>
      </c>
      <c r="I121" s="8" t="n"/>
      <c r="J121" s="9">
        <f>IF(ISNUMBER(I121),I121,IF(ISNUMBER(H121),H121,""))</f>
        <v/>
      </c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8" t="n"/>
      <c r="B122" s="9">
        <f>IF(A122="","",IFERROR(INDEX(Sessions!$R$2:$R$16,MATCH(A122,Sessions!$A$2:$A$16,0)),"?"))</f>
        <v/>
      </c>
      <c r="C122" s="8" t="n"/>
      <c r="D122" s="9">
        <f>IF(C122="","",IFERROR(INDEX(Tasks!$B$2:$B$7,MATCH(C122,Tasks!$A$2:$A$7,0)),"?"))</f>
        <v/>
      </c>
      <c r="E122" s="8" t="n"/>
      <c r="F122" s="10" t="n"/>
      <c r="G122" s="10" t="n"/>
      <c r="H122" s="9">
        <f>IF(AND(ISNUMBER(F122),ISNUMBER(G122)),ROUND((G122-F122)*86400,0),"")</f>
        <v/>
      </c>
      <c r="I122" s="8" t="n"/>
      <c r="J122" s="9">
        <f>IF(ISNUMBER(I122),I122,IF(ISNUMBER(H122),H122,""))</f>
        <v/>
      </c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8" t="n"/>
      <c r="B123" s="9">
        <f>IF(A123="","",IFERROR(INDEX(Sessions!$R$2:$R$16,MATCH(A123,Sessions!$A$2:$A$16,0)),"?"))</f>
        <v/>
      </c>
      <c r="C123" s="8" t="n"/>
      <c r="D123" s="9">
        <f>IF(C123="","",IFERROR(INDEX(Tasks!$B$2:$B$7,MATCH(C123,Tasks!$A$2:$A$7,0)),"?"))</f>
        <v/>
      </c>
      <c r="E123" s="8" t="n"/>
      <c r="F123" s="10" t="n"/>
      <c r="G123" s="10" t="n"/>
      <c r="H123" s="9">
        <f>IF(AND(ISNUMBER(F123),ISNUMBER(G123)),ROUND((G123-F123)*86400,0),"")</f>
        <v/>
      </c>
      <c r="I123" s="8" t="n"/>
      <c r="J123" s="9">
        <f>IF(ISNUMBER(I123),I123,IF(ISNUMBER(H123),H123,""))</f>
        <v/>
      </c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8" t="n"/>
      <c r="B124" s="9">
        <f>IF(A124="","",IFERROR(INDEX(Sessions!$R$2:$R$16,MATCH(A124,Sessions!$A$2:$A$16,0)),"?"))</f>
        <v/>
      </c>
      <c r="C124" s="8" t="n"/>
      <c r="D124" s="9">
        <f>IF(C124="","",IFERROR(INDEX(Tasks!$B$2:$B$7,MATCH(C124,Tasks!$A$2:$A$7,0)),"?"))</f>
        <v/>
      </c>
      <c r="E124" s="8" t="n"/>
      <c r="F124" s="10" t="n"/>
      <c r="G124" s="10" t="n"/>
      <c r="H124" s="9">
        <f>IF(AND(ISNUMBER(F124),ISNUMBER(G124)),ROUND((G124-F124)*86400,0),"")</f>
        <v/>
      </c>
      <c r="I124" s="8" t="n"/>
      <c r="J124" s="9">
        <f>IF(ISNUMBER(I124),I124,IF(ISNUMBER(H124),H124,""))</f>
        <v/>
      </c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</row>
    <row r="125">
      <c r="A125" s="8" t="n"/>
      <c r="B125" s="9">
        <f>IF(A125="","",IFERROR(INDEX(Sessions!$R$2:$R$16,MATCH(A125,Sessions!$A$2:$A$16,0)),"?"))</f>
        <v/>
      </c>
      <c r="C125" s="8" t="n"/>
      <c r="D125" s="9">
        <f>IF(C125="","",IFERROR(INDEX(Tasks!$B$2:$B$7,MATCH(C125,Tasks!$A$2:$A$7,0)),"?"))</f>
        <v/>
      </c>
      <c r="E125" s="8" t="n"/>
      <c r="F125" s="10" t="n"/>
      <c r="G125" s="10" t="n"/>
      <c r="H125" s="9">
        <f>IF(AND(ISNUMBER(F125),ISNUMBER(G125)),ROUND((G125-F125)*86400,0),"")</f>
        <v/>
      </c>
      <c r="I125" s="8" t="n"/>
      <c r="J125" s="9">
        <f>IF(ISNUMBER(I125),I125,IF(ISNUMBER(H125),H125,""))</f>
        <v/>
      </c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</row>
    <row r="126">
      <c r="A126" s="8" t="n"/>
      <c r="B126" s="9">
        <f>IF(A126="","",IFERROR(INDEX(Sessions!$R$2:$R$16,MATCH(A126,Sessions!$A$2:$A$16,0)),"?"))</f>
        <v/>
      </c>
      <c r="C126" s="8" t="n"/>
      <c r="D126" s="9">
        <f>IF(C126="","",IFERROR(INDEX(Tasks!$B$2:$B$7,MATCH(C126,Tasks!$A$2:$A$7,0)),"?"))</f>
        <v/>
      </c>
      <c r="E126" s="8" t="n"/>
      <c r="F126" s="10" t="n"/>
      <c r="G126" s="10" t="n"/>
      <c r="H126" s="9">
        <f>IF(AND(ISNUMBER(F126),ISNUMBER(G126)),ROUND((G126-F126)*86400,0),"")</f>
        <v/>
      </c>
      <c r="I126" s="8" t="n"/>
      <c r="J126" s="9">
        <f>IF(ISNUMBER(I126),I126,IF(ISNUMBER(H126),H126,""))</f>
        <v/>
      </c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</row>
    <row r="127">
      <c r="A127" s="8" t="n"/>
      <c r="B127" s="9">
        <f>IF(A127="","",IFERROR(INDEX(Sessions!$R$2:$R$16,MATCH(A127,Sessions!$A$2:$A$16,0)),"?"))</f>
        <v/>
      </c>
      <c r="C127" s="8" t="n"/>
      <c r="D127" s="9">
        <f>IF(C127="","",IFERROR(INDEX(Tasks!$B$2:$B$7,MATCH(C127,Tasks!$A$2:$A$7,0)),"?"))</f>
        <v/>
      </c>
      <c r="E127" s="8" t="n"/>
      <c r="F127" s="10" t="n"/>
      <c r="G127" s="10" t="n"/>
      <c r="H127" s="9">
        <f>IF(AND(ISNUMBER(F127),ISNUMBER(G127)),ROUND((G127-F127)*86400,0),"")</f>
        <v/>
      </c>
      <c r="I127" s="8" t="n"/>
      <c r="J127" s="9">
        <f>IF(ISNUMBER(I127),I127,IF(ISNUMBER(H127),H127,""))</f>
        <v/>
      </c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</row>
    <row r="128">
      <c r="A128" s="8" t="n"/>
      <c r="B128" s="9">
        <f>IF(A128="","",IFERROR(INDEX(Sessions!$R$2:$R$16,MATCH(A128,Sessions!$A$2:$A$16,0)),"?"))</f>
        <v/>
      </c>
      <c r="C128" s="8" t="n"/>
      <c r="D128" s="9">
        <f>IF(C128="","",IFERROR(INDEX(Tasks!$B$2:$B$7,MATCH(C128,Tasks!$A$2:$A$7,0)),"?"))</f>
        <v/>
      </c>
      <c r="E128" s="8" t="n"/>
      <c r="F128" s="10" t="n"/>
      <c r="G128" s="10" t="n"/>
      <c r="H128" s="9">
        <f>IF(AND(ISNUMBER(F128),ISNUMBER(G128)),ROUND((G128-F128)*86400,0),"")</f>
        <v/>
      </c>
      <c r="I128" s="8" t="n"/>
      <c r="J128" s="9">
        <f>IF(ISNUMBER(I128),I128,IF(ISNUMBER(H128),H128,""))</f>
        <v/>
      </c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</row>
    <row r="129">
      <c r="A129" s="8" t="n"/>
      <c r="B129" s="9">
        <f>IF(A129="","",IFERROR(INDEX(Sessions!$R$2:$R$16,MATCH(A129,Sessions!$A$2:$A$16,0)),"?"))</f>
        <v/>
      </c>
      <c r="C129" s="8" t="n"/>
      <c r="D129" s="9">
        <f>IF(C129="","",IFERROR(INDEX(Tasks!$B$2:$B$7,MATCH(C129,Tasks!$A$2:$A$7,0)),"?"))</f>
        <v/>
      </c>
      <c r="E129" s="8" t="n"/>
      <c r="F129" s="10" t="n"/>
      <c r="G129" s="10" t="n"/>
      <c r="H129" s="9">
        <f>IF(AND(ISNUMBER(F129),ISNUMBER(G129)),ROUND((G129-F129)*86400,0),"")</f>
        <v/>
      </c>
      <c r="I129" s="8" t="n"/>
      <c r="J129" s="9">
        <f>IF(ISNUMBER(I129),I129,IF(ISNUMBER(H129),H129,""))</f>
        <v/>
      </c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</row>
    <row r="130">
      <c r="A130" s="8" t="n"/>
      <c r="B130" s="9">
        <f>IF(A130="","",IFERROR(INDEX(Sessions!$R$2:$R$16,MATCH(A130,Sessions!$A$2:$A$16,0)),"?"))</f>
        <v/>
      </c>
      <c r="C130" s="8" t="n"/>
      <c r="D130" s="9">
        <f>IF(C130="","",IFERROR(INDEX(Tasks!$B$2:$B$7,MATCH(C130,Tasks!$A$2:$A$7,0)),"?"))</f>
        <v/>
      </c>
      <c r="E130" s="8" t="n"/>
      <c r="F130" s="10" t="n"/>
      <c r="G130" s="10" t="n"/>
      <c r="H130" s="9">
        <f>IF(AND(ISNUMBER(F130),ISNUMBER(G130)),ROUND((G130-F130)*86400,0),"")</f>
        <v/>
      </c>
      <c r="I130" s="8" t="n"/>
      <c r="J130" s="9">
        <f>IF(ISNUMBER(I130),I130,IF(ISNUMBER(H130),H130,""))</f>
        <v/>
      </c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8" t="n"/>
      <c r="B131" s="9">
        <f>IF(A131="","",IFERROR(INDEX(Sessions!$R$2:$R$16,MATCH(A131,Sessions!$A$2:$A$16,0)),"?"))</f>
        <v/>
      </c>
      <c r="C131" s="8" t="n"/>
      <c r="D131" s="9">
        <f>IF(C131="","",IFERROR(INDEX(Tasks!$B$2:$B$7,MATCH(C131,Tasks!$A$2:$A$7,0)),"?"))</f>
        <v/>
      </c>
      <c r="E131" s="8" t="n"/>
      <c r="F131" s="10" t="n"/>
      <c r="G131" s="10" t="n"/>
      <c r="H131" s="9">
        <f>IF(AND(ISNUMBER(F131),ISNUMBER(G131)),ROUND((G131-F131)*86400,0),"")</f>
        <v/>
      </c>
      <c r="I131" s="8" t="n"/>
      <c r="J131" s="9">
        <f>IF(ISNUMBER(I131),I131,IF(ISNUMBER(H131),H131,""))</f>
        <v/>
      </c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8" t="n"/>
      <c r="B132" s="9">
        <f>IF(A132="","",IFERROR(INDEX(Sessions!$R$2:$R$16,MATCH(A132,Sessions!$A$2:$A$16,0)),"?"))</f>
        <v/>
      </c>
      <c r="C132" s="8" t="n"/>
      <c r="D132" s="9">
        <f>IF(C132="","",IFERROR(INDEX(Tasks!$B$2:$B$7,MATCH(C132,Tasks!$A$2:$A$7,0)),"?"))</f>
        <v/>
      </c>
      <c r="E132" s="8" t="n"/>
      <c r="F132" s="10" t="n"/>
      <c r="G132" s="10" t="n"/>
      <c r="H132" s="9">
        <f>IF(AND(ISNUMBER(F132),ISNUMBER(G132)),ROUND((G132-F132)*86400,0),"")</f>
        <v/>
      </c>
      <c r="I132" s="8" t="n"/>
      <c r="J132" s="9">
        <f>IF(ISNUMBER(I132),I132,IF(ISNUMBER(H132),H132,""))</f>
        <v/>
      </c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8" t="n"/>
      <c r="B133" s="9">
        <f>IF(A133="","",IFERROR(INDEX(Sessions!$R$2:$R$16,MATCH(A133,Sessions!$A$2:$A$16,0)),"?"))</f>
        <v/>
      </c>
      <c r="C133" s="8" t="n"/>
      <c r="D133" s="9">
        <f>IF(C133="","",IFERROR(INDEX(Tasks!$B$2:$B$7,MATCH(C133,Tasks!$A$2:$A$7,0)),"?"))</f>
        <v/>
      </c>
      <c r="E133" s="8" t="n"/>
      <c r="F133" s="10" t="n"/>
      <c r="G133" s="10" t="n"/>
      <c r="H133" s="9">
        <f>IF(AND(ISNUMBER(F133),ISNUMBER(G133)),ROUND((G133-F133)*86400,0),"")</f>
        <v/>
      </c>
      <c r="I133" s="8" t="n"/>
      <c r="J133" s="9">
        <f>IF(ISNUMBER(I133),I133,IF(ISNUMBER(H133),H133,""))</f>
        <v/>
      </c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8" t="n"/>
      <c r="B134" s="9">
        <f>IF(A134="","",IFERROR(INDEX(Sessions!$R$2:$R$16,MATCH(A134,Sessions!$A$2:$A$16,0)),"?"))</f>
        <v/>
      </c>
      <c r="C134" s="8" t="n"/>
      <c r="D134" s="9">
        <f>IF(C134="","",IFERROR(INDEX(Tasks!$B$2:$B$7,MATCH(C134,Tasks!$A$2:$A$7,0)),"?"))</f>
        <v/>
      </c>
      <c r="E134" s="8" t="n"/>
      <c r="F134" s="10" t="n"/>
      <c r="G134" s="10" t="n"/>
      <c r="H134" s="9">
        <f>IF(AND(ISNUMBER(F134),ISNUMBER(G134)),ROUND((G134-F134)*86400,0),"")</f>
        <v/>
      </c>
      <c r="I134" s="8" t="n"/>
      <c r="J134" s="9">
        <f>IF(ISNUMBER(I134),I134,IF(ISNUMBER(H134),H134,""))</f>
        <v/>
      </c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8" t="n"/>
      <c r="B135" s="9">
        <f>IF(A135="","",IFERROR(INDEX(Sessions!$R$2:$R$16,MATCH(A135,Sessions!$A$2:$A$16,0)),"?"))</f>
        <v/>
      </c>
      <c r="C135" s="8" t="n"/>
      <c r="D135" s="9">
        <f>IF(C135="","",IFERROR(INDEX(Tasks!$B$2:$B$7,MATCH(C135,Tasks!$A$2:$A$7,0)),"?"))</f>
        <v/>
      </c>
      <c r="E135" s="8" t="n"/>
      <c r="F135" s="10" t="n"/>
      <c r="G135" s="10" t="n"/>
      <c r="H135" s="9">
        <f>IF(AND(ISNUMBER(F135),ISNUMBER(G135)),ROUND((G135-F135)*86400,0),"")</f>
        <v/>
      </c>
      <c r="I135" s="8" t="n"/>
      <c r="J135" s="9">
        <f>IF(ISNUMBER(I135),I135,IF(ISNUMBER(H135),H135,""))</f>
        <v/>
      </c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8" t="n"/>
      <c r="B136" s="9">
        <f>IF(A136="","",IFERROR(INDEX(Sessions!$R$2:$R$16,MATCH(A136,Sessions!$A$2:$A$16,0)),"?"))</f>
        <v/>
      </c>
      <c r="C136" s="8" t="n"/>
      <c r="D136" s="9">
        <f>IF(C136="","",IFERROR(INDEX(Tasks!$B$2:$B$7,MATCH(C136,Tasks!$A$2:$A$7,0)),"?"))</f>
        <v/>
      </c>
      <c r="E136" s="8" t="n"/>
      <c r="F136" s="10" t="n"/>
      <c r="G136" s="10" t="n"/>
      <c r="H136" s="9">
        <f>IF(AND(ISNUMBER(F136),ISNUMBER(G136)),ROUND((G136-F136)*86400,0),"")</f>
        <v/>
      </c>
      <c r="I136" s="8" t="n"/>
      <c r="J136" s="9">
        <f>IF(ISNUMBER(I136),I136,IF(ISNUMBER(H136),H136,""))</f>
        <v/>
      </c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</row>
    <row r="137">
      <c r="A137" s="8" t="n"/>
      <c r="B137" s="9">
        <f>IF(A137="","",IFERROR(INDEX(Sessions!$R$2:$R$16,MATCH(A137,Sessions!$A$2:$A$16,0)),"?"))</f>
        <v/>
      </c>
      <c r="C137" s="8" t="n"/>
      <c r="D137" s="9">
        <f>IF(C137="","",IFERROR(INDEX(Tasks!$B$2:$B$7,MATCH(C137,Tasks!$A$2:$A$7,0)),"?"))</f>
        <v/>
      </c>
      <c r="E137" s="8" t="n"/>
      <c r="F137" s="10" t="n"/>
      <c r="G137" s="10" t="n"/>
      <c r="H137" s="9">
        <f>IF(AND(ISNUMBER(F137),ISNUMBER(G137)),ROUND((G137-F137)*86400,0),"")</f>
        <v/>
      </c>
      <c r="I137" s="8" t="n"/>
      <c r="J137" s="9">
        <f>IF(ISNUMBER(I137),I137,IF(ISNUMBER(H137),H137,""))</f>
        <v/>
      </c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</row>
    <row r="138">
      <c r="A138" s="8" t="n"/>
      <c r="B138" s="9">
        <f>IF(A138="","",IFERROR(INDEX(Sessions!$R$2:$R$16,MATCH(A138,Sessions!$A$2:$A$16,0)),"?"))</f>
        <v/>
      </c>
      <c r="C138" s="8" t="n"/>
      <c r="D138" s="9">
        <f>IF(C138="","",IFERROR(INDEX(Tasks!$B$2:$B$7,MATCH(C138,Tasks!$A$2:$A$7,0)),"?"))</f>
        <v/>
      </c>
      <c r="E138" s="8" t="n"/>
      <c r="F138" s="10" t="n"/>
      <c r="G138" s="10" t="n"/>
      <c r="H138" s="9">
        <f>IF(AND(ISNUMBER(F138),ISNUMBER(G138)),ROUND((G138-F138)*86400,0),"")</f>
        <v/>
      </c>
      <c r="I138" s="8" t="n"/>
      <c r="J138" s="9">
        <f>IF(ISNUMBER(I138),I138,IF(ISNUMBER(H138),H138,""))</f>
        <v/>
      </c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</row>
    <row r="139">
      <c r="A139" s="8" t="n"/>
      <c r="B139" s="9">
        <f>IF(A139="","",IFERROR(INDEX(Sessions!$R$2:$R$16,MATCH(A139,Sessions!$A$2:$A$16,0)),"?"))</f>
        <v/>
      </c>
      <c r="C139" s="8" t="n"/>
      <c r="D139" s="9">
        <f>IF(C139="","",IFERROR(INDEX(Tasks!$B$2:$B$7,MATCH(C139,Tasks!$A$2:$A$7,0)),"?"))</f>
        <v/>
      </c>
      <c r="E139" s="8" t="n"/>
      <c r="F139" s="10" t="n"/>
      <c r="G139" s="10" t="n"/>
      <c r="H139" s="9">
        <f>IF(AND(ISNUMBER(F139),ISNUMBER(G139)),ROUND((G139-F139)*86400,0),"")</f>
        <v/>
      </c>
      <c r="I139" s="8" t="n"/>
      <c r="J139" s="9">
        <f>IF(ISNUMBER(I139),I139,IF(ISNUMBER(H139),H139,""))</f>
        <v/>
      </c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</row>
    <row r="140">
      <c r="A140" s="8" t="n"/>
      <c r="B140" s="9">
        <f>IF(A140="","",IFERROR(INDEX(Sessions!$R$2:$R$16,MATCH(A140,Sessions!$A$2:$A$16,0)),"?"))</f>
        <v/>
      </c>
      <c r="C140" s="8" t="n"/>
      <c r="D140" s="9">
        <f>IF(C140="","",IFERROR(INDEX(Tasks!$B$2:$B$7,MATCH(C140,Tasks!$A$2:$A$7,0)),"?"))</f>
        <v/>
      </c>
      <c r="E140" s="8" t="n"/>
      <c r="F140" s="10" t="n"/>
      <c r="G140" s="10" t="n"/>
      <c r="H140" s="9">
        <f>IF(AND(ISNUMBER(F140),ISNUMBER(G140)),ROUND((G140-F140)*86400,0),"")</f>
        <v/>
      </c>
      <c r="I140" s="8" t="n"/>
      <c r="J140" s="9">
        <f>IF(ISNUMBER(I140),I140,IF(ISNUMBER(H140),H140,""))</f>
        <v/>
      </c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</row>
    <row r="141">
      <c r="A141" s="8" t="n"/>
      <c r="B141" s="9">
        <f>IF(A141="","",IFERROR(INDEX(Sessions!$R$2:$R$16,MATCH(A141,Sessions!$A$2:$A$16,0)),"?"))</f>
        <v/>
      </c>
      <c r="C141" s="8" t="n"/>
      <c r="D141" s="9">
        <f>IF(C141="","",IFERROR(INDEX(Tasks!$B$2:$B$7,MATCH(C141,Tasks!$A$2:$A$7,0)),"?"))</f>
        <v/>
      </c>
      <c r="E141" s="8" t="n"/>
      <c r="F141" s="10" t="n"/>
      <c r="G141" s="10" t="n"/>
      <c r="H141" s="9">
        <f>IF(AND(ISNUMBER(F141),ISNUMBER(G141)),ROUND((G141-F141)*86400,0),"")</f>
        <v/>
      </c>
      <c r="I141" s="8" t="n"/>
      <c r="J141" s="9">
        <f>IF(ISNUMBER(I141),I141,IF(ISNUMBER(H141),H141,""))</f>
        <v/>
      </c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</row>
    <row r="142">
      <c r="A142" s="8" t="n"/>
      <c r="B142" s="9">
        <f>IF(A142="","",IFERROR(INDEX(Sessions!$R$2:$R$16,MATCH(A142,Sessions!$A$2:$A$16,0)),"?"))</f>
        <v/>
      </c>
      <c r="C142" s="8" t="n"/>
      <c r="D142" s="9">
        <f>IF(C142="","",IFERROR(INDEX(Tasks!$B$2:$B$7,MATCH(C142,Tasks!$A$2:$A$7,0)),"?"))</f>
        <v/>
      </c>
      <c r="E142" s="8" t="n"/>
      <c r="F142" s="10" t="n"/>
      <c r="G142" s="10" t="n"/>
      <c r="H142" s="9">
        <f>IF(AND(ISNUMBER(F142),ISNUMBER(G142)),ROUND((G142-F142)*86400,0),"")</f>
        <v/>
      </c>
      <c r="I142" s="8" t="n"/>
      <c r="J142" s="9">
        <f>IF(ISNUMBER(I142),I142,IF(ISNUMBER(H142),H142,""))</f>
        <v/>
      </c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8" t="n"/>
      <c r="B143" s="9">
        <f>IF(A143="","",IFERROR(INDEX(Sessions!$R$2:$R$16,MATCH(A143,Sessions!$A$2:$A$16,0)),"?"))</f>
        <v/>
      </c>
      <c r="C143" s="8" t="n"/>
      <c r="D143" s="9">
        <f>IF(C143="","",IFERROR(INDEX(Tasks!$B$2:$B$7,MATCH(C143,Tasks!$A$2:$A$7,0)),"?"))</f>
        <v/>
      </c>
      <c r="E143" s="8" t="n"/>
      <c r="F143" s="10" t="n"/>
      <c r="G143" s="10" t="n"/>
      <c r="H143" s="9">
        <f>IF(AND(ISNUMBER(F143),ISNUMBER(G143)),ROUND((G143-F143)*86400,0),"")</f>
        <v/>
      </c>
      <c r="I143" s="8" t="n"/>
      <c r="J143" s="9">
        <f>IF(ISNUMBER(I143),I143,IF(ISNUMBER(H143),H143,""))</f>
        <v/>
      </c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8" t="n"/>
      <c r="B144" s="9">
        <f>IF(A144="","",IFERROR(INDEX(Sessions!$R$2:$R$16,MATCH(A144,Sessions!$A$2:$A$16,0)),"?"))</f>
        <v/>
      </c>
      <c r="C144" s="8" t="n"/>
      <c r="D144" s="9">
        <f>IF(C144="","",IFERROR(INDEX(Tasks!$B$2:$B$7,MATCH(C144,Tasks!$A$2:$A$7,0)),"?"))</f>
        <v/>
      </c>
      <c r="E144" s="8" t="n"/>
      <c r="F144" s="10" t="n"/>
      <c r="G144" s="10" t="n"/>
      <c r="H144" s="9">
        <f>IF(AND(ISNUMBER(F144),ISNUMBER(G144)),ROUND((G144-F144)*86400,0),"")</f>
        <v/>
      </c>
      <c r="I144" s="8" t="n"/>
      <c r="J144" s="9">
        <f>IF(ISNUMBER(I144),I144,IF(ISNUMBER(H144),H144,""))</f>
        <v/>
      </c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8" t="n"/>
      <c r="B145" s="9">
        <f>IF(A145="","",IFERROR(INDEX(Sessions!$R$2:$R$16,MATCH(A145,Sessions!$A$2:$A$16,0)),"?"))</f>
        <v/>
      </c>
      <c r="C145" s="8" t="n"/>
      <c r="D145" s="9">
        <f>IF(C145="","",IFERROR(INDEX(Tasks!$B$2:$B$7,MATCH(C145,Tasks!$A$2:$A$7,0)),"?"))</f>
        <v/>
      </c>
      <c r="E145" s="8" t="n"/>
      <c r="F145" s="10" t="n"/>
      <c r="G145" s="10" t="n"/>
      <c r="H145" s="9">
        <f>IF(AND(ISNUMBER(F145),ISNUMBER(G145)),ROUND((G145-F145)*86400,0),"")</f>
        <v/>
      </c>
      <c r="I145" s="8" t="n"/>
      <c r="J145" s="9">
        <f>IF(ISNUMBER(I145),I145,IF(ISNUMBER(H145),H145,""))</f>
        <v/>
      </c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8" t="n"/>
      <c r="B146" s="9">
        <f>IF(A146="","",IFERROR(INDEX(Sessions!$R$2:$R$16,MATCH(A146,Sessions!$A$2:$A$16,0)),"?"))</f>
        <v/>
      </c>
      <c r="C146" s="8" t="n"/>
      <c r="D146" s="9">
        <f>IF(C146="","",IFERROR(INDEX(Tasks!$B$2:$B$7,MATCH(C146,Tasks!$A$2:$A$7,0)),"?"))</f>
        <v/>
      </c>
      <c r="E146" s="8" t="n"/>
      <c r="F146" s="10" t="n"/>
      <c r="G146" s="10" t="n"/>
      <c r="H146" s="9">
        <f>IF(AND(ISNUMBER(F146),ISNUMBER(G146)),ROUND((G146-F146)*86400,0),"")</f>
        <v/>
      </c>
      <c r="I146" s="8" t="n"/>
      <c r="J146" s="9">
        <f>IF(ISNUMBER(I146),I146,IF(ISNUMBER(H146),H146,""))</f>
        <v/>
      </c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8" t="n"/>
      <c r="B147" s="9">
        <f>IF(A147="","",IFERROR(INDEX(Sessions!$R$2:$R$16,MATCH(A147,Sessions!$A$2:$A$16,0)),"?"))</f>
        <v/>
      </c>
      <c r="C147" s="8" t="n"/>
      <c r="D147" s="9">
        <f>IF(C147="","",IFERROR(INDEX(Tasks!$B$2:$B$7,MATCH(C147,Tasks!$A$2:$A$7,0)),"?"))</f>
        <v/>
      </c>
      <c r="E147" s="8" t="n"/>
      <c r="F147" s="10" t="n"/>
      <c r="G147" s="10" t="n"/>
      <c r="H147" s="9">
        <f>IF(AND(ISNUMBER(F147),ISNUMBER(G147)),ROUND((G147-F147)*86400,0),"")</f>
        <v/>
      </c>
      <c r="I147" s="8" t="n"/>
      <c r="J147" s="9">
        <f>IF(ISNUMBER(I147),I147,IF(ISNUMBER(H147),H147,""))</f>
        <v/>
      </c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8" t="n"/>
      <c r="B148" s="9">
        <f>IF(A148="","",IFERROR(INDEX(Sessions!$R$2:$R$16,MATCH(A148,Sessions!$A$2:$A$16,0)),"?"))</f>
        <v/>
      </c>
      <c r="C148" s="8" t="n"/>
      <c r="D148" s="9">
        <f>IF(C148="","",IFERROR(INDEX(Tasks!$B$2:$B$7,MATCH(C148,Tasks!$A$2:$A$7,0)),"?"))</f>
        <v/>
      </c>
      <c r="E148" s="8" t="n"/>
      <c r="F148" s="10" t="n"/>
      <c r="G148" s="10" t="n"/>
      <c r="H148" s="9">
        <f>IF(AND(ISNUMBER(F148),ISNUMBER(G148)),ROUND((G148-F148)*86400,0),"")</f>
        <v/>
      </c>
      <c r="I148" s="8" t="n"/>
      <c r="J148" s="9">
        <f>IF(ISNUMBER(I148),I148,IF(ISNUMBER(H148),H148,""))</f>
        <v/>
      </c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</row>
    <row r="149">
      <c r="A149" s="8" t="n"/>
      <c r="B149" s="9">
        <f>IF(A149="","",IFERROR(INDEX(Sessions!$R$2:$R$16,MATCH(A149,Sessions!$A$2:$A$16,0)),"?"))</f>
        <v/>
      </c>
      <c r="C149" s="8" t="n"/>
      <c r="D149" s="9">
        <f>IF(C149="","",IFERROR(INDEX(Tasks!$B$2:$B$7,MATCH(C149,Tasks!$A$2:$A$7,0)),"?"))</f>
        <v/>
      </c>
      <c r="E149" s="8" t="n"/>
      <c r="F149" s="10" t="n"/>
      <c r="G149" s="10" t="n"/>
      <c r="H149" s="9">
        <f>IF(AND(ISNUMBER(F149),ISNUMBER(G149)),ROUND((G149-F149)*86400,0),"")</f>
        <v/>
      </c>
      <c r="I149" s="8" t="n"/>
      <c r="J149" s="9">
        <f>IF(ISNUMBER(I149),I149,IF(ISNUMBER(H149),H149,""))</f>
        <v/>
      </c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</row>
    <row r="150">
      <c r="A150" s="8" t="n"/>
      <c r="B150" s="9">
        <f>IF(A150="","",IFERROR(INDEX(Sessions!$R$2:$R$16,MATCH(A150,Sessions!$A$2:$A$16,0)),"?"))</f>
        <v/>
      </c>
      <c r="C150" s="8" t="n"/>
      <c r="D150" s="9">
        <f>IF(C150="","",IFERROR(INDEX(Tasks!$B$2:$B$7,MATCH(C150,Tasks!$A$2:$A$7,0)),"?"))</f>
        <v/>
      </c>
      <c r="E150" s="8" t="n"/>
      <c r="F150" s="10" t="n"/>
      <c r="G150" s="10" t="n"/>
      <c r="H150" s="9">
        <f>IF(AND(ISNUMBER(F150),ISNUMBER(G150)),ROUND((G150-F150)*86400,0),"")</f>
        <v/>
      </c>
      <c r="I150" s="8" t="n"/>
      <c r="J150" s="9">
        <f>IF(ISNUMBER(I150),I150,IF(ISNUMBER(H150),H150,""))</f>
        <v/>
      </c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</row>
    <row r="151">
      <c r="A151" s="8" t="n"/>
      <c r="B151" s="9">
        <f>IF(A151="","",IFERROR(INDEX(Sessions!$R$2:$R$16,MATCH(A151,Sessions!$A$2:$A$16,0)),"?"))</f>
        <v/>
      </c>
      <c r="C151" s="8" t="n"/>
      <c r="D151" s="9">
        <f>IF(C151="","",IFERROR(INDEX(Tasks!$B$2:$B$7,MATCH(C151,Tasks!$A$2:$A$7,0)),"?"))</f>
        <v/>
      </c>
      <c r="E151" s="8" t="n"/>
      <c r="F151" s="10" t="n"/>
      <c r="G151" s="10" t="n"/>
      <c r="H151" s="9">
        <f>IF(AND(ISNUMBER(F151),ISNUMBER(G151)),ROUND((G151-F151)*86400,0),"")</f>
        <v/>
      </c>
      <c r="I151" s="8" t="n"/>
      <c r="J151" s="9">
        <f>IF(ISNUMBER(I151),I151,IF(ISNUMBER(H151),H151,""))</f>
        <v/>
      </c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</row>
    <row r="152">
      <c r="A152" s="8" t="n"/>
      <c r="B152" s="9">
        <f>IF(A152="","",IFERROR(INDEX(Sessions!$R$2:$R$16,MATCH(A152,Sessions!$A$2:$A$16,0)),"?"))</f>
        <v/>
      </c>
      <c r="C152" s="8" t="n"/>
      <c r="D152" s="9">
        <f>IF(C152="","",IFERROR(INDEX(Tasks!$B$2:$B$7,MATCH(C152,Tasks!$A$2:$A$7,0)),"?"))</f>
        <v/>
      </c>
      <c r="E152" s="8" t="n"/>
      <c r="F152" s="10" t="n"/>
      <c r="G152" s="10" t="n"/>
      <c r="H152" s="9">
        <f>IF(AND(ISNUMBER(F152),ISNUMBER(G152)),ROUND((G152-F152)*86400,0),"")</f>
        <v/>
      </c>
      <c r="I152" s="8" t="n"/>
      <c r="J152" s="9">
        <f>IF(ISNUMBER(I152),I152,IF(ISNUMBER(H152),H152,""))</f>
        <v/>
      </c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</row>
    <row r="153">
      <c r="A153" s="8" t="n"/>
      <c r="B153" s="9">
        <f>IF(A153="","",IFERROR(INDEX(Sessions!$R$2:$R$16,MATCH(A153,Sessions!$A$2:$A$16,0)),"?"))</f>
        <v/>
      </c>
      <c r="C153" s="8" t="n"/>
      <c r="D153" s="9">
        <f>IF(C153="","",IFERROR(INDEX(Tasks!$B$2:$B$7,MATCH(C153,Tasks!$A$2:$A$7,0)),"?"))</f>
        <v/>
      </c>
      <c r="E153" s="8" t="n"/>
      <c r="F153" s="10" t="n"/>
      <c r="G153" s="10" t="n"/>
      <c r="H153" s="9">
        <f>IF(AND(ISNUMBER(F153),ISNUMBER(G153)),ROUND((G153-F153)*86400,0),"")</f>
        <v/>
      </c>
      <c r="I153" s="8" t="n"/>
      <c r="J153" s="9">
        <f>IF(ISNUMBER(I153),I153,IF(ISNUMBER(H153),H153,""))</f>
        <v/>
      </c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</row>
    <row r="154">
      <c r="A154" s="8" t="n"/>
      <c r="B154" s="9">
        <f>IF(A154="","",IFERROR(INDEX(Sessions!$R$2:$R$16,MATCH(A154,Sessions!$A$2:$A$16,0)),"?"))</f>
        <v/>
      </c>
      <c r="C154" s="8" t="n"/>
      <c r="D154" s="9">
        <f>IF(C154="","",IFERROR(INDEX(Tasks!$B$2:$B$7,MATCH(C154,Tasks!$A$2:$A$7,0)),"?"))</f>
        <v/>
      </c>
      <c r="E154" s="8" t="n"/>
      <c r="F154" s="10" t="n"/>
      <c r="G154" s="10" t="n"/>
      <c r="H154" s="9">
        <f>IF(AND(ISNUMBER(F154),ISNUMBER(G154)),ROUND((G154-F154)*86400,0),"")</f>
        <v/>
      </c>
      <c r="I154" s="8" t="n"/>
      <c r="J154" s="9">
        <f>IF(ISNUMBER(I154),I154,IF(ISNUMBER(H154),H154,""))</f>
        <v/>
      </c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8" t="n"/>
      <c r="B155" s="9">
        <f>IF(A155="","",IFERROR(INDEX(Sessions!$R$2:$R$16,MATCH(A155,Sessions!$A$2:$A$16,0)),"?"))</f>
        <v/>
      </c>
      <c r="C155" s="8" t="n"/>
      <c r="D155" s="9">
        <f>IF(C155="","",IFERROR(INDEX(Tasks!$B$2:$B$7,MATCH(C155,Tasks!$A$2:$A$7,0)),"?"))</f>
        <v/>
      </c>
      <c r="E155" s="8" t="n"/>
      <c r="F155" s="10" t="n"/>
      <c r="G155" s="10" t="n"/>
      <c r="H155" s="9">
        <f>IF(AND(ISNUMBER(F155),ISNUMBER(G155)),ROUND((G155-F155)*86400,0),"")</f>
        <v/>
      </c>
      <c r="I155" s="8" t="n"/>
      <c r="J155" s="9">
        <f>IF(ISNUMBER(I155),I155,IF(ISNUMBER(H155),H155,""))</f>
        <v/>
      </c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8" t="n"/>
      <c r="B156" s="9">
        <f>IF(A156="","",IFERROR(INDEX(Sessions!$R$2:$R$16,MATCH(A156,Sessions!$A$2:$A$16,0)),"?"))</f>
        <v/>
      </c>
      <c r="C156" s="8" t="n"/>
      <c r="D156" s="9">
        <f>IF(C156="","",IFERROR(INDEX(Tasks!$B$2:$B$7,MATCH(C156,Tasks!$A$2:$A$7,0)),"?"))</f>
        <v/>
      </c>
      <c r="E156" s="8" t="n"/>
      <c r="F156" s="10" t="n"/>
      <c r="G156" s="10" t="n"/>
      <c r="H156" s="9">
        <f>IF(AND(ISNUMBER(F156),ISNUMBER(G156)),ROUND((G156-F156)*86400,0),"")</f>
        <v/>
      </c>
      <c r="I156" s="8" t="n"/>
      <c r="J156" s="9">
        <f>IF(ISNUMBER(I156),I156,IF(ISNUMBER(H156),H156,""))</f>
        <v/>
      </c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8" t="n"/>
      <c r="B157" s="9">
        <f>IF(A157="","",IFERROR(INDEX(Sessions!$R$2:$R$16,MATCH(A157,Sessions!$A$2:$A$16,0)),"?"))</f>
        <v/>
      </c>
      <c r="C157" s="8" t="n"/>
      <c r="D157" s="9">
        <f>IF(C157="","",IFERROR(INDEX(Tasks!$B$2:$B$7,MATCH(C157,Tasks!$A$2:$A$7,0)),"?"))</f>
        <v/>
      </c>
      <c r="E157" s="8" t="n"/>
      <c r="F157" s="10" t="n"/>
      <c r="G157" s="10" t="n"/>
      <c r="H157" s="9">
        <f>IF(AND(ISNUMBER(F157),ISNUMBER(G157)),ROUND((G157-F157)*86400,0),"")</f>
        <v/>
      </c>
      <c r="I157" s="8" t="n"/>
      <c r="J157" s="9">
        <f>IF(ISNUMBER(I157),I157,IF(ISNUMBER(H157),H157,""))</f>
        <v/>
      </c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8" t="n"/>
      <c r="B158" s="9">
        <f>IF(A158="","",IFERROR(INDEX(Sessions!$R$2:$R$16,MATCH(A158,Sessions!$A$2:$A$16,0)),"?"))</f>
        <v/>
      </c>
      <c r="C158" s="8" t="n"/>
      <c r="D158" s="9">
        <f>IF(C158="","",IFERROR(INDEX(Tasks!$B$2:$B$7,MATCH(C158,Tasks!$A$2:$A$7,0)),"?"))</f>
        <v/>
      </c>
      <c r="E158" s="8" t="n"/>
      <c r="F158" s="10" t="n"/>
      <c r="G158" s="10" t="n"/>
      <c r="H158" s="9">
        <f>IF(AND(ISNUMBER(F158),ISNUMBER(G158)),ROUND((G158-F158)*86400,0),"")</f>
        <v/>
      </c>
      <c r="I158" s="8" t="n"/>
      <c r="J158" s="9">
        <f>IF(ISNUMBER(I158),I158,IF(ISNUMBER(H158),H158,""))</f>
        <v/>
      </c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8" t="n"/>
      <c r="B159" s="9">
        <f>IF(A159="","",IFERROR(INDEX(Sessions!$R$2:$R$16,MATCH(A159,Sessions!$A$2:$A$16,0)),"?"))</f>
        <v/>
      </c>
      <c r="C159" s="8" t="n"/>
      <c r="D159" s="9">
        <f>IF(C159="","",IFERROR(INDEX(Tasks!$B$2:$B$7,MATCH(C159,Tasks!$A$2:$A$7,0)),"?"))</f>
        <v/>
      </c>
      <c r="E159" s="8" t="n"/>
      <c r="F159" s="10" t="n"/>
      <c r="G159" s="10" t="n"/>
      <c r="H159" s="9">
        <f>IF(AND(ISNUMBER(F159),ISNUMBER(G159)),ROUND((G159-F159)*86400,0),"")</f>
        <v/>
      </c>
      <c r="I159" s="8" t="n"/>
      <c r="J159" s="9">
        <f>IF(ISNUMBER(I159),I159,IF(ISNUMBER(H159),H159,""))</f>
        <v/>
      </c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8" t="n"/>
      <c r="B160" s="9">
        <f>IF(A160="","",IFERROR(INDEX(Sessions!$R$2:$R$16,MATCH(A160,Sessions!$A$2:$A$16,0)),"?"))</f>
        <v/>
      </c>
      <c r="C160" s="8" t="n"/>
      <c r="D160" s="9">
        <f>IF(C160="","",IFERROR(INDEX(Tasks!$B$2:$B$7,MATCH(C160,Tasks!$A$2:$A$7,0)),"?"))</f>
        <v/>
      </c>
      <c r="E160" s="8" t="n"/>
      <c r="F160" s="10" t="n"/>
      <c r="G160" s="10" t="n"/>
      <c r="H160" s="9">
        <f>IF(AND(ISNUMBER(F160),ISNUMBER(G160)),ROUND((G160-F160)*86400,0),"")</f>
        <v/>
      </c>
      <c r="I160" s="8" t="n"/>
      <c r="J160" s="9">
        <f>IF(ISNUMBER(I160),I160,IF(ISNUMBER(H160),H160,""))</f>
        <v/>
      </c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</row>
    <row r="161">
      <c r="A161" s="8" t="n"/>
      <c r="B161" s="9">
        <f>IF(A161="","",IFERROR(INDEX(Sessions!$R$2:$R$16,MATCH(A161,Sessions!$A$2:$A$16,0)),"?"))</f>
        <v/>
      </c>
      <c r="C161" s="8" t="n"/>
      <c r="D161" s="9">
        <f>IF(C161="","",IFERROR(INDEX(Tasks!$B$2:$B$7,MATCH(C161,Tasks!$A$2:$A$7,0)),"?"))</f>
        <v/>
      </c>
      <c r="E161" s="8" t="n"/>
      <c r="F161" s="10" t="n"/>
      <c r="G161" s="10" t="n"/>
      <c r="H161" s="9">
        <f>IF(AND(ISNUMBER(F161),ISNUMBER(G161)),ROUND((G161-F161)*86400,0),"")</f>
        <v/>
      </c>
      <c r="I161" s="8" t="n"/>
      <c r="J161" s="9">
        <f>IF(ISNUMBER(I161),I161,IF(ISNUMBER(H161),H161,""))</f>
        <v/>
      </c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</row>
    <row r="162">
      <c r="A162" s="8" t="n"/>
      <c r="B162" s="9">
        <f>IF(A162="","",IFERROR(INDEX(Sessions!$R$2:$R$16,MATCH(A162,Sessions!$A$2:$A$16,0)),"?"))</f>
        <v/>
      </c>
      <c r="C162" s="8" t="n"/>
      <c r="D162" s="9">
        <f>IF(C162="","",IFERROR(INDEX(Tasks!$B$2:$B$7,MATCH(C162,Tasks!$A$2:$A$7,0)),"?"))</f>
        <v/>
      </c>
      <c r="E162" s="8" t="n"/>
      <c r="F162" s="10" t="n"/>
      <c r="G162" s="10" t="n"/>
      <c r="H162" s="9">
        <f>IF(AND(ISNUMBER(F162),ISNUMBER(G162)),ROUND((G162-F162)*86400,0),"")</f>
        <v/>
      </c>
      <c r="I162" s="8" t="n"/>
      <c r="J162" s="9">
        <f>IF(ISNUMBER(I162),I162,IF(ISNUMBER(H162),H162,""))</f>
        <v/>
      </c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</row>
    <row r="163">
      <c r="A163" s="8" t="n"/>
      <c r="B163" s="9">
        <f>IF(A163="","",IFERROR(INDEX(Sessions!$R$2:$R$16,MATCH(A163,Sessions!$A$2:$A$16,0)),"?"))</f>
        <v/>
      </c>
      <c r="C163" s="8" t="n"/>
      <c r="D163" s="9">
        <f>IF(C163="","",IFERROR(INDEX(Tasks!$B$2:$B$7,MATCH(C163,Tasks!$A$2:$A$7,0)),"?"))</f>
        <v/>
      </c>
      <c r="E163" s="8" t="n"/>
      <c r="F163" s="10" t="n"/>
      <c r="G163" s="10" t="n"/>
      <c r="H163" s="9">
        <f>IF(AND(ISNUMBER(F163),ISNUMBER(G163)),ROUND((G163-F163)*86400,0),"")</f>
        <v/>
      </c>
      <c r="I163" s="8" t="n"/>
      <c r="J163" s="9">
        <f>IF(ISNUMBER(I163),I163,IF(ISNUMBER(H163),H163,""))</f>
        <v/>
      </c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</row>
    <row r="164">
      <c r="A164" s="8" t="n"/>
      <c r="B164" s="9">
        <f>IF(A164="","",IFERROR(INDEX(Sessions!$R$2:$R$16,MATCH(A164,Sessions!$A$2:$A$16,0)),"?"))</f>
        <v/>
      </c>
      <c r="C164" s="8" t="n"/>
      <c r="D164" s="9">
        <f>IF(C164="","",IFERROR(INDEX(Tasks!$B$2:$B$7,MATCH(C164,Tasks!$A$2:$A$7,0)),"?"))</f>
        <v/>
      </c>
      <c r="E164" s="8" t="n"/>
      <c r="F164" s="10" t="n"/>
      <c r="G164" s="10" t="n"/>
      <c r="H164" s="9">
        <f>IF(AND(ISNUMBER(F164),ISNUMBER(G164)),ROUND((G164-F164)*86400,0),"")</f>
        <v/>
      </c>
      <c r="I164" s="8" t="n"/>
      <c r="J164" s="9">
        <f>IF(ISNUMBER(I164),I164,IF(ISNUMBER(H164),H164,""))</f>
        <v/>
      </c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</row>
    <row r="165">
      <c r="A165" s="8" t="n"/>
      <c r="B165" s="9">
        <f>IF(A165="","",IFERROR(INDEX(Sessions!$R$2:$R$16,MATCH(A165,Sessions!$A$2:$A$16,0)),"?"))</f>
        <v/>
      </c>
      <c r="C165" s="8" t="n"/>
      <c r="D165" s="9">
        <f>IF(C165="","",IFERROR(INDEX(Tasks!$B$2:$B$7,MATCH(C165,Tasks!$A$2:$A$7,0)),"?"))</f>
        <v/>
      </c>
      <c r="E165" s="8" t="n"/>
      <c r="F165" s="10" t="n"/>
      <c r="G165" s="10" t="n"/>
      <c r="H165" s="9">
        <f>IF(AND(ISNUMBER(F165),ISNUMBER(G165)),ROUND((G165-F165)*86400,0),"")</f>
        <v/>
      </c>
      <c r="I165" s="8" t="n"/>
      <c r="J165" s="9">
        <f>IF(ISNUMBER(I165),I165,IF(ISNUMBER(H165),H165,""))</f>
        <v/>
      </c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</row>
    <row r="166">
      <c r="A166" s="8" t="n"/>
      <c r="B166" s="9">
        <f>IF(A166="","",IFERROR(INDEX(Sessions!$R$2:$R$16,MATCH(A166,Sessions!$A$2:$A$16,0)),"?"))</f>
        <v/>
      </c>
      <c r="C166" s="8" t="n"/>
      <c r="D166" s="9">
        <f>IF(C166="","",IFERROR(INDEX(Tasks!$B$2:$B$7,MATCH(C166,Tasks!$A$2:$A$7,0)),"?"))</f>
        <v/>
      </c>
      <c r="E166" s="8" t="n"/>
      <c r="F166" s="10" t="n"/>
      <c r="G166" s="10" t="n"/>
      <c r="H166" s="9">
        <f>IF(AND(ISNUMBER(F166),ISNUMBER(G166)),ROUND((G166-F166)*86400,0),"")</f>
        <v/>
      </c>
      <c r="I166" s="8" t="n"/>
      <c r="J166" s="9">
        <f>IF(ISNUMBER(I166),I166,IF(ISNUMBER(H166),H166,""))</f>
        <v/>
      </c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8" t="n"/>
      <c r="B167" s="9">
        <f>IF(A167="","",IFERROR(INDEX(Sessions!$R$2:$R$16,MATCH(A167,Sessions!$A$2:$A$16,0)),"?"))</f>
        <v/>
      </c>
      <c r="C167" s="8" t="n"/>
      <c r="D167" s="9">
        <f>IF(C167="","",IFERROR(INDEX(Tasks!$B$2:$B$7,MATCH(C167,Tasks!$A$2:$A$7,0)),"?"))</f>
        <v/>
      </c>
      <c r="E167" s="8" t="n"/>
      <c r="F167" s="10" t="n"/>
      <c r="G167" s="10" t="n"/>
      <c r="H167" s="9">
        <f>IF(AND(ISNUMBER(F167),ISNUMBER(G167)),ROUND((G167-F167)*86400,0),"")</f>
        <v/>
      </c>
      <c r="I167" s="8" t="n"/>
      <c r="J167" s="9">
        <f>IF(ISNUMBER(I167),I167,IF(ISNUMBER(H167),H167,""))</f>
        <v/>
      </c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8" t="n"/>
      <c r="B168" s="9">
        <f>IF(A168="","",IFERROR(INDEX(Sessions!$R$2:$R$16,MATCH(A168,Sessions!$A$2:$A$16,0)),"?"))</f>
        <v/>
      </c>
      <c r="C168" s="8" t="n"/>
      <c r="D168" s="9">
        <f>IF(C168="","",IFERROR(INDEX(Tasks!$B$2:$B$7,MATCH(C168,Tasks!$A$2:$A$7,0)),"?"))</f>
        <v/>
      </c>
      <c r="E168" s="8" t="n"/>
      <c r="F168" s="10" t="n"/>
      <c r="G168" s="10" t="n"/>
      <c r="H168" s="9">
        <f>IF(AND(ISNUMBER(F168),ISNUMBER(G168)),ROUND((G168-F168)*86400,0),"")</f>
        <v/>
      </c>
      <c r="I168" s="8" t="n"/>
      <c r="J168" s="9">
        <f>IF(ISNUMBER(I168),I168,IF(ISNUMBER(H168),H168,""))</f>
        <v/>
      </c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8" t="n"/>
      <c r="B169" s="9">
        <f>IF(A169="","",IFERROR(INDEX(Sessions!$R$2:$R$16,MATCH(A169,Sessions!$A$2:$A$16,0)),"?"))</f>
        <v/>
      </c>
      <c r="C169" s="8" t="n"/>
      <c r="D169" s="9">
        <f>IF(C169="","",IFERROR(INDEX(Tasks!$B$2:$B$7,MATCH(C169,Tasks!$A$2:$A$7,0)),"?"))</f>
        <v/>
      </c>
      <c r="E169" s="8" t="n"/>
      <c r="F169" s="10" t="n"/>
      <c r="G169" s="10" t="n"/>
      <c r="H169" s="9">
        <f>IF(AND(ISNUMBER(F169),ISNUMBER(G169)),ROUND((G169-F169)*86400,0),"")</f>
        <v/>
      </c>
      <c r="I169" s="8" t="n"/>
      <c r="J169" s="9">
        <f>IF(ISNUMBER(I169),I169,IF(ISNUMBER(H169),H169,""))</f>
        <v/>
      </c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8" t="n"/>
      <c r="B170" s="9">
        <f>IF(A170="","",IFERROR(INDEX(Sessions!$R$2:$R$16,MATCH(A170,Sessions!$A$2:$A$16,0)),"?"))</f>
        <v/>
      </c>
      <c r="C170" s="8" t="n"/>
      <c r="D170" s="9">
        <f>IF(C170="","",IFERROR(INDEX(Tasks!$B$2:$B$7,MATCH(C170,Tasks!$A$2:$A$7,0)),"?"))</f>
        <v/>
      </c>
      <c r="E170" s="8" t="n"/>
      <c r="F170" s="10" t="n"/>
      <c r="G170" s="10" t="n"/>
      <c r="H170" s="9">
        <f>IF(AND(ISNUMBER(F170),ISNUMBER(G170)),ROUND((G170-F170)*86400,0),"")</f>
        <v/>
      </c>
      <c r="I170" s="8" t="n"/>
      <c r="J170" s="9">
        <f>IF(ISNUMBER(I170),I170,IF(ISNUMBER(H170),H170,""))</f>
        <v/>
      </c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8" t="n"/>
      <c r="B171" s="9">
        <f>IF(A171="","",IFERROR(INDEX(Sessions!$R$2:$R$16,MATCH(A171,Sessions!$A$2:$A$16,0)),"?"))</f>
        <v/>
      </c>
      <c r="C171" s="8" t="n"/>
      <c r="D171" s="9">
        <f>IF(C171="","",IFERROR(INDEX(Tasks!$B$2:$B$7,MATCH(C171,Tasks!$A$2:$A$7,0)),"?"))</f>
        <v/>
      </c>
      <c r="E171" s="8" t="n"/>
      <c r="F171" s="10" t="n"/>
      <c r="G171" s="10" t="n"/>
      <c r="H171" s="9">
        <f>IF(AND(ISNUMBER(F171),ISNUMBER(G171)),ROUND((G171-F171)*86400,0),"")</f>
        <v/>
      </c>
      <c r="I171" s="8" t="n"/>
      <c r="J171" s="9">
        <f>IF(ISNUMBER(I171),I171,IF(ISNUMBER(H171),H171,""))</f>
        <v/>
      </c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8" t="n"/>
      <c r="B172" s="9">
        <f>IF(A172="","",IFERROR(INDEX(Sessions!$R$2:$R$16,MATCH(A172,Sessions!$A$2:$A$16,0)),"?"))</f>
        <v/>
      </c>
      <c r="C172" s="8" t="n"/>
      <c r="D172" s="9">
        <f>IF(C172="","",IFERROR(INDEX(Tasks!$B$2:$B$7,MATCH(C172,Tasks!$A$2:$A$7,0)),"?"))</f>
        <v/>
      </c>
      <c r="E172" s="8" t="n"/>
      <c r="F172" s="10" t="n"/>
      <c r="G172" s="10" t="n"/>
      <c r="H172" s="9">
        <f>IF(AND(ISNUMBER(F172),ISNUMBER(G172)),ROUND((G172-F172)*86400,0),"")</f>
        <v/>
      </c>
      <c r="I172" s="8" t="n"/>
      <c r="J172" s="9">
        <f>IF(ISNUMBER(I172),I172,IF(ISNUMBER(H172),H172,""))</f>
        <v/>
      </c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</row>
    <row r="173">
      <c r="A173" s="8" t="n"/>
      <c r="B173" s="9">
        <f>IF(A173="","",IFERROR(INDEX(Sessions!$R$2:$R$16,MATCH(A173,Sessions!$A$2:$A$16,0)),"?"))</f>
        <v/>
      </c>
      <c r="C173" s="8" t="n"/>
      <c r="D173" s="9">
        <f>IF(C173="","",IFERROR(INDEX(Tasks!$B$2:$B$7,MATCH(C173,Tasks!$A$2:$A$7,0)),"?"))</f>
        <v/>
      </c>
      <c r="E173" s="8" t="n"/>
      <c r="F173" s="10" t="n"/>
      <c r="G173" s="10" t="n"/>
      <c r="H173" s="9">
        <f>IF(AND(ISNUMBER(F173),ISNUMBER(G173)),ROUND((G173-F173)*86400,0),"")</f>
        <v/>
      </c>
      <c r="I173" s="8" t="n"/>
      <c r="J173" s="9">
        <f>IF(ISNUMBER(I173),I173,IF(ISNUMBER(H173),H173,""))</f>
        <v/>
      </c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</row>
    <row r="174">
      <c r="A174" s="8" t="n"/>
      <c r="B174" s="9">
        <f>IF(A174="","",IFERROR(INDEX(Sessions!$R$2:$R$16,MATCH(A174,Sessions!$A$2:$A$16,0)),"?"))</f>
        <v/>
      </c>
      <c r="C174" s="8" t="n"/>
      <c r="D174" s="9">
        <f>IF(C174="","",IFERROR(INDEX(Tasks!$B$2:$B$7,MATCH(C174,Tasks!$A$2:$A$7,0)),"?"))</f>
        <v/>
      </c>
      <c r="E174" s="8" t="n"/>
      <c r="F174" s="10" t="n"/>
      <c r="G174" s="10" t="n"/>
      <c r="H174" s="9">
        <f>IF(AND(ISNUMBER(F174),ISNUMBER(G174)),ROUND((G174-F174)*86400,0),"")</f>
        <v/>
      </c>
      <c r="I174" s="8" t="n"/>
      <c r="J174" s="9">
        <f>IF(ISNUMBER(I174),I174,IF(ISNUMBER(H174),H174,""))</f>
        <v/>
      </c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</row>
    <row r="175">
      <c r="A175" s="8" t="n"/>
      <c r="B175" s="9">
        <f>IF(A175="","",IFERROR(INDEX(Sessions!$R$2:$R$16,MATCH(A175,Sessions!$A$2:$A$16,0)),"?"))</f>
        <v/>
      </c>
      <c r="C175" s="8" t="n"/>
      <c r="D175" s="9">
        <f>IF(C175="","",IFERROR(INDEX(Tasks!$B$2:$B$7,MATCH(C175,Tasks!$A$2:$A$7,0)),"?"))</f>
        <v/>
      </c>
      <c r="E175" s="8" t="n"/>
      <c r="F175" s="10" t="n"/>
      <c r="G175" s="10" t="n"/>
      <c r="H175" s="9">
        <f>IF(AND(ISNUMBER(F175),ISNUMBER(G175)),ROUND((G175-F175)*86400,0),"")</f>
        <v/>
      </c>
      <c r="I175" s="8" t="n"/>
      <c r="J175" s="9">
        <f>IF(ISNUMBER(I175),I175,IF(ISNUMBER(H175),H175,""))</f>
        <v/>
      </c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</row>
    <row r="176">
      <c r="A176" s="8" t="n"/>
      <c r="B176" s="9">
        <f>IF(A176="","",IFERROR(INDEX(Sessions!$R$2:$R$16,MATCH(A176,Sessions!$A$2:$A$16,0)),"?"))</f>
        <v/>
      </c>
      <c r="C176" s="8" t="n"/>
      <c r="D176" s="9">
        <f>IF(C176="","",IFERROR(INDEX(Tasks!$B$2:$B$7,MATCH(C176,Tasks!$A$2:$A$7,0)),"?"))</f>
        <v/>
      </c>
      <c r="E176" s="8" t="n"/>
      <c r="F176" s="10" t="n"/>
      <c r="G176" s="10" t="n"/>
      <c r="H176" s="9">
        <f>IF(AND(ISNUMBER(F176),ISNUMBER(G176)),ROUND((G176-F176)*86400,0),"")</f>
        <v/>
      </c>
      <c r="I176" s="8" t="n"/>
      <c r="J176" s="9">
        <f>IF(ISNUMBER(I176),I176,IF(ISNUMBER(H176),H176,""))</f>
        <v/>
      </c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</row>
    <row r="177">
      <c r="A177" s="8" t="n"/>
      <c r="B177" s="9">
        <f>IF(A177="","",IFERROR(INDEX(Sessions!$R$2:$R$16,MATCH(A177,Sessions!$A$2:$A$16,0)),"?"))</f>
        <v/>
      </c>
      <c r="C177" s="8" t="n"/>
      <c r="D177" s="9">
        <f>IF(C177="","",IFERROR(INDEX(Tasks!$B$2:$B$7,MATCH(C177,Tasks!$A$2:$A$7,0)),"?"))</f>
        <v/>
      </c>
      <c r="E177" s="8" t="n"/>
      <c r="F177" s="10" t="n"/>
      <c r="G177" s="10" t="n"/>
      <c r="H177" s="9">
        <f>IF(AND(ISNUMBER(F177),ISNUMBER(G177)),ROUND((G177-F177)*86400,0),"")</f>
        <v/>
      </c>
      <c r="I177" s="8" t="n"/>
      <c r="J177" s="9">
        <f>IF(ISNUMBER(I177),I177,IF(ISNUMBER(H177),H177,""))</f>
        <v/>
      </c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</row>
    <row r="178">
      <c r="A178" s="8" t="n"/>
      <c r="B178" s="9">
        <f>IF(A178="","",IFERROR(INDEX(Sessions!$R$2:$R$16,MATCH(A178,Sessions!$A$2:$A$16,0)),"?"))</f>
        <v/>
      </c>
      <c r="C178" s="8" t="n"/>
      <c r="D178" s="9">
        <f>IF(C178="","",IFERROR(INDEX(Tasks!$B$2:$B$7,MATCH(C178,Tasks!$A$2:$A$7,0)),"?"))</f>
        <v/>
      </c>
      <c r="E178" s="8" t="n"/>
      <c r="F178" s="10" t="n"/>
      <c r="G178" s="10" t="n"/>
      <c r="H178" s="9">
        <f>IF(AND(ISNUMBER(F178),ISNUMBER(G178)),ROUND((G178-F178)*86400,0),"")</f>
        <v/>
      </c>
      <c r="I178" s="8" t="n"/>
      <c r="J178" s="9">
        <f>IF(ISNUMBER(I178),I178,IF(ISNUMBER(H178),H178,""))</f>
        <v/>
      </c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</row>
    <row r="179">
      <c r="A179" s="8" t="n"/>
      <c r="B179" s="9">
        <f>IF(A179="","",IFERROR(INDEX(Sessions!$R$2:$R$16,MATCH(A179,Sessions!$A$2:$A$16,0)),"?"))</f>
        <v/>
      </c>
      <c r="C179" s="8" t="n"/>
      <c r="D179" s="9">
        <f>IF(C179="","",IFERROR(INDEX(Tasks!$B$2:$B$7,MATCH(C179,Tasks!$A$2:$A$7,0)),"?"))</f>
        <v/>
      </c>
      <c r="E179" s="8" t="n"/>
      <c r="F179" s="10" t="n"/>
      <c r="G179" s="10" t="n"/>
      <c r="H179" s="9">
        <f>IF(AND(ISNUMBER(F179),ISNUMBER(G179)),ROUND((G179-F179)*86400,0),"")</f>
        <v/>
      </c>
      <c r="I179" s="8" t="n"/>
      <c r="J179" s="9">
        <f>IF(ISNUMBER(I179),I179,IF(ISNUMBER(H179),H179,""))</f>
        <v/>
      </c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</row>
    <row r="180">
      <c r="A180" s="8" t="n"/>
      <c r="B180" s="9">
        <f>IF(A180="","",IFERROR(INDEX(Sessions!$R$2:$R$16,MATCH(A180,Sessions!$A$2:$A$16,0)),"?"))</f>
        <v/>
      </c>
      <c r="C180" s="8" t="n"/>
      <c r="D180" s="9">
        <f>IF(C180="","",IFERROR(INDEX(Tasks!$B$2:$B$7,MATCH(C180,Tasks!$A$2:$A$7,0)),"?"))</f>
        <v/>
      </c>
      <c r="E180" s="8" t="n"/>
      <c r="F180" s="10" t="n"/>
      <c r="G180" s="10" t="n"/>
      <c r="H180" s="9">
        <f>IF(AND(ISNUMBER(F180),ISNUMBER(G180)),ROUND((G180-F180)*86400,0),"")</f>
        <v/>
      </c>
      <c r="I180" s="8" t="n"/>
      <c r="J180" s="9">
        <f>IF(ISNUMBER(I180),I180,IF(ISNUMBER(H180),H180,""))</f>
        <v/>
      </c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</row>
    <row r="181">
      <c r="A181" s="8" t="n"/>
      <c r="B181" s="9">
        <f>IF(A181="","",IFERROR(INDEX(Sessions!$R$2:$R$16,MATCH(A181,Sessions!$A$2:$A$16,0)),"?"))</f>
        <v/>
      </c>
      <c r="C181" s="8" t="n"/>
      <c r="D181" s="9">
        <f>IF(C181="","",IFERROR(INDEX(Tasks!$B$2:$B$7,MATCH(C181,Tasks!$A$2:$A$7,0)),"?"))</f>
        <v/>
      </c>
      <c r="E181" s="8" t="n"/>
      <c r="F181" s="10" t="n"/>
      <c r="G181" s="10" t="n"/>
      <c r="H181" s="9">
        <f>IF(AND(ISNUMBER(F181),ISNUMBER(G181)),ROUND((G181-F181)*86400,0),"")</f>
        <v/>
      </c>
      <c r="I181" s="8" t="n"/>
      <c r="J181" s="9">
        <f>IF(ISNUMBER(I181),I181,IF(ISNUMBER(H181),H181,""))</f>
        <v/>
      </c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</row>
    <row r="182">
      <c r="A182" s="8" t="n"/>
      <c r="B182" s="9">
        <f>IF(A182="","",IFERROR(INDEX(Sessions!$R$2:$R$16,MATCH(A182,Sessions!$A$2:$A$16,0)),"?"))</f>
        <v/>
      </c>
      <c r="C182" s="8" t="n"/>
      <c r="D182" s="9">
        <f>IF(C182="","",IFERROR(INDEX(Tasks!$B$2:$B$7,MATCH(C182,Tasks!$A$2:$A$7,0)),"?"))</f>
        <v/>
      </c>
      <c r="E182" s="8" t="n"/>
      <c r="F182" s="10" t="n"/>
      <c r="G182" s="10" t="n"/>
      <c r="H182" s="9">
        <f>IF(AND(ISNUMBER(F182),ISNUMBER(G182)),ROUND((G182-F182)*86400,0),"")</f>
        <v/>
      </c>
      <c r="I182" s="8" t="n"/>
      <c r="J182" s="9">
        <f>IF(ISNUMBER(I182),I182,IF(ISNUMBER(H182),H182,""))</f>
        <v/>
      </c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</row>
    <row r="183">
      <c r="A183" s="8" t="n"/>
      <c r="B183" s="9">
        <f>IF(A183="","",IFERROR(INDEX(Sessions!$R$2:$R$16,MATCH(A183,Sessions!$A$2:$A$16,0)),"?"))</f>
        <v/>
      </c>
      <c r="C183" s="8" t="n"/>
      <c r="D183" s="9">
        <f>IF(C183="","",IFERROR(INDEX(Tasks!$B$2:$B$7,MATCH(C183,Tasks!$A$2:$A$7,0)),"?"))</f>
        <v/>
      </c>
      <c r="E183" s="8" t="n"/>
      <c r="F183" s="10" t="n"/>
      <c r="G183" s="10" t="n"/>
      <c r="H183" s="9">
        <f>IF(AND(ISNUMBER(F183),ISNUMBER(G183)),ROUND((G183-F183)*86400,0),"")</f>
        <v/>
      </c>
      <c r="I183" s="8" t="n"/>
      <c r="J183" s="9">
        <f>IF(ISNUMBER(I183),I183,IF(ISNUMBER(H183),H183,""))</f>
        <v/>
      </c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</row>
    <row r="184">
      <c r="A184" s="8" t="n"/>
      <c r="B184" s="9">
        <f>IF(A184="","",IFERROR(INDEX(Sessions!$R$2:$R$16,MATCH(A184,Sessions!$A$2:$A$16,0)),"?"))</f>
        <v/>
      </c>
      <c r="C184" s="8" t="n"/>
      <c r="D184" s="9">
        <f>IF(C184="","",IFERROR(INDEX(Tasks!$B$2:$B$7,MATCH(C184,Tasks!$A$2:$A$7,0)),"?"))</f>
        <v/>
      </c>
      <c r="E184" s="8" t="n"/>
      <c r="F184" s="10" t="n"/>
      <c r="G184" s="10" t="n"/>
      <c r="H184" s="9">
        <f>IF(AND(ISNUMBER(F184),ISNUMBER(G184)),ROUND((G184-F184)*86400,0),"")</f>
        <v/>
      </c>
      <c r="I184" s="8" t="n"/>
      <c r="J184" s="9">
        <f>IF(ISNUMBER(I184),I184,IF(ISNUMBER(H184),H184,""))</f>
        <v/>
      </c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</row>
    <row r="185">
      <c r="A185" s="8" t="n"/>
      <c r="B185" s="9">
        <f>IF(A185="","",IFERROR(INDEX(Sessions!$R$2:$R$16,MATCH(A185,Sessions!$A$2:$A$16,0)),"?"))</f>
        <v/>
      </c>
      <c r="C185" s="8" t="n"/>
      <c r="D185" s="9">
        <f>IF(C185="","",IFERROR(INDEX(Tasks!$B$2:$B$7,MATCH(C185,Tasks!$A$2:$A$7,0)),"?"))</f>
        <v/>
      </c>
      <c r="E185" s="8" t="n"/>
      <c r="F185" s="10" t="n"/>
      <c r="G185" s="10" t="n"/>
      <c r="H185" s="9">
        <f>IF(AND(ISNUMBER(F185),ISNUMBER(G185)),ROUND((G185-F185)*86400,0),"")</f>
        <v/>
      </c>
      <c r="I185" s="8" t="n"/>
      <c r="J185" s="9">
        <f>IF(ISNUMBER(I185),I185,IF(ISNUMBER(H185),H185,""))</f>
        <v/>
      </c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</row>
    <row r="186">
      <c r="A186" s="8" t="n"/>
      <c r="B186" s="9">
        <f>IF(A186="","",IFERROR(INDEX(Sessions!$R$2:$R$16,MATCH(A186,Sessions!$A$2:$A$16,0)),"?"))</f>
        <v/>
      </c>
      <c r="C186" s="8" t="n"/>
      <c r="D186" s="9">
        <f>IF(C186="","",IFERROR(INDEX(Tasks!$B$2:$B$7,MATCH(C186,Tasks!$A$2:$A$7,0)),"?"))</f>
        <v/>
      </c>
      <c r="E186" s="8" t="n"/>
      <c r="F186" s="10" t="n"/>
      <c r="G186" s="10" t="n"/>
      <c r="H186" s="9">
        <f>IF(AND(ISNUMBER(F186),ISNUMBER(G186)),ROUND((G186-F186)*86400,0),"")</f>
        <v/>
      </c>
      <c r="I186" s="8" t="n"/>
      <c r="J186" s="9">
        <f>IF(ISNUMBER(I186),I186,IF(ISNUMBER(H186),H186,""))</f>
        <v/>
      </c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</row>
    <row r="187">
      <c r="A187" s="8" t="n"/>
      <c r="B187" s="9">
        <f>IF(A187="","",IFERROR(INDEX(Sessions!$R$2:$R$16,MATCH(A187,Sessions!$A$2:$A$16,0)),"?"))</f>
        <v/>
      </c>
      <c r="C187" s="8" t="n"/>
      <c r="D187" s="9">
        <f>IF(C187="","",IFERROR(INDEX(Tasks!$B$2:$B$7,MATCH(C187,Tasks!$A$2:$A$7,0)),"?"))</f>
        <v/>
      </c>
      <c r="E187" s="8" t="n"/>
      <c r="F187" s="10" t="n"/>
      <c r="G187" s="10" t="n"/>
      <c r="H187" s="9">
        <f>IF(AND(ISNUMBER(F187),ISNUMBER(G187)),ROUND((G187-F187)*86400,0),"")</f>
        <v/>
      </c>
      <c r="I187" s="8" t="n"/>
      <c r="J187" s="9">
        <f>IF(ISNUMBER(I187),I187,IF(ISNUMBER(H187),H187,""))</f>
        <v/>
      </c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</row>
    <row r="188">
      <c r="A188" s="8" t="n"/>
      <c r="B188" s="9">
        <f>IF(A188="","",IFERROR(INDEX(Sessions!$R$2:$R$16,MATCH(A188,Sessions!$A$2:$A$16,0)),"?"))</f>
        <v/>
      </c>
      <c r="C188" s="8" t="n"/>
      <c r="D188" s="9">
        <f>IF(C188="","",IFERROR(INDEX(Tasks!$B$2:$B$7,MATCH(C188,Tasks!$A$2:$A$7,0)),"?"))</f>
        <v/>
      </c>
      <c r="E188" s="8" t="n"/>
      <c r="F188" s="10" t="n"/>
      <c r="G188" s="10" t="n"/>
      <c r="H188" s="9">
        <f>IF(AND(ISNUMBER(F188),ISNUMBER(G188)),ROUND((G188-F188)*86400,0),"")</f>
        <v/>
      </c>
      <c r="I188" s="8" t="n"/>
      <c r="J188" s="9">
        <f>IF(ISNUMBER(I188),I188,IF(ISNUMBER(H188),H188,""))</f>
        <v/>
      </c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</row>
    <row r="189">
      <c r="A189" s="8" t="n"/>
      <c r="B189" s="9">
        <f>IF(A189="","",IFERROR(INDEX(Sessions!$R$2:$R$16,MATCH(A189,Sessions!$A$2:$A$16,0)),"?"))</f>
        <v/>
      </c>
      <c r="C189" s="8" t="n"/>
      <c r="D189" s="9">
        <f>IF(C189="","",IFERROR(INDEX(Tasks!$B$2:$B$7,MATCH(C189,Tasks!$A$2:$A$7,0)),"?"))</f>
        <v/>
      </c>
      <c r="E189" s="8" t="n"/>
      <c r="F189" s="10" t="n"/>
      <c r="G189" s="10" t="n"/>
      <c r="H189" s="9">
        <f>IF(AND(ISNUMBER(F189),ISNUMBER(G189)),ROUND((G189-F189)*86400,0),"")</f>
        <v/>
      </c>
      <c r="I189" s="8" t="n"/>
      <c r="J189" s="9">
        <f>IF(ISNUMBER(I189),I189,IF(ISNUMBER(H189),H189,""))</f>
        <v/>
      </c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</row>
    <row r="190">
      <c r="A190" s="8" t="n"/>
      <c r="B190" s="9">
        <f>IF(A190="","",IFERROR(INDEX(Sessions!$R$2:$R$16,MATCH(A190,Sessions!$A$2:$A$16,0)),"?"))</f>
        <v/>
      </c>
      <c r="C190" s="8" t="n"/>
      <c r="D190" s="9">
        <f>IF(C190="","",IFERROR(INDEX(Tasks!$B$2:$B$7,MATCH(C190,Tasks!$A$2:$A$7,0)),"?"))</f>
        <v/>
      </c>
      <c r="E190" s="8" t="n"/>
      <c r="F190" s="10" t="n"/>
      <c r="G190" s="10" t="n"/>
      <c r="H190" s="9">
        <f>IF(AND(ISNUMBER(F190),ISNUMBER(G190)),ROUND((G190-F190)*86400,0),"")</f>
        <v/>
      </c>
      <c r="I190" s="8" t="n"/>
      <c r="J190" s="9">
        <f>IF(ISNUMBER(I190),I190,IF(ISNUMBER(H190),H190,""))</f>
        <v/>
      </c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</row>
    <row r="191">
      <c r="A191" s="8" t="n"/>
      <c r="B191" s="9">
        <f>IF(A191="","",IFERROR(INDEX(Sessions!$R$2:$R$16,MATCH(A191,Sessions!$A$2:$A$16,0)),"?"))</f>
        <v/>
      </c>
      <c r="C191" s="8" t="n"/>
      <c r="D191" s="9">
        <f>IF(C191="","",IFERROR(INDEX(Tasks!$B$2:$B$7,MATCH(C191,Tasks!$A$2:$A$7,0)),"?"))</f>
        <v/>
      </c>
      <c r="E191" s="8" t="n"/>
      <c r="F191" s="10" t="n"/>
      <c r="G191" s="10" t="n"/>
      <c r="H191" s="9">
        <f>IF(AND(ISNUMBER(F191),ISNUMBER(G191)),ROUND((G191-F191)*86400,0),"")</f>
        <v/>
      </c>
      <c r="I191" s="8" t="n"/>
      <c r="J191" s="9">
        <f>IF(ISNUMBER(I191),I191,IF(ISNUMBER(H191),H191,""))</f>
        <v/>
      </c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</row>
    <row r="192">
      <c r="A192" s="8" t="n"/>
      <c r="B192" s="9">
        <f>IF(A192="","",IFERROR(INDEX(Sessions!$R$2:$R$16,MATCH(A192,Sessions!$A$2:$A$16,0)),"?"))</f>
        <v/>
      </c>
      <c r="C192" s="8" t="n"/>
      <c r="D192" s="9">
        <f>IF(C192="","",IFERROR(INDEX(Tasks!$B$2:$B$7,MATCH(C192,Tasks!$A$2:$A$7,0)),"?"))</f>
        <v/>
      </c>
      <c r="E192" s="8" t="n"/>
      <c r="F192" s="10" t="n"/>
      <c r="G192" s="10" t="n"/>
      <c r="H192" s="9">
        <f>IF(AND(ISNUMBER(F192),ISNUMBER(G192)),ROUND((G192-F192)*86400,0),"")</f>
        <v/>
      </c>
      <c r="I192" s="8" t="n"/>
      <c r="J192" s="9">
        <f>IF(ISNUMBER(I192),I192,IF(ISNUMBER(H192),H192,""))</f>
        <v/>
      </c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</row>
    <row r="193">
      <c r="A193" s="8" t="n"/>
      <c r="B193" s="9">
        <f>IF(A193="","",IFERROR(INDEX(Sessions!$R$2:$R$16,MATCH(A193,Sessions!$A$2:$A$16,0)),"?"))</f>
        <v/>
      </c>
      <c r="C193" s="8" t="n"/>
      <c r="D193" s="9">
        <f>IF(C193="","",IFERROR(INDEX(Tasks!$B$2:$B$7,MATCH(C193,Tasks!$A$2:$A$7,0)),"?"))</f>
        <v/>
      </c>
      <c r="E193" s="8" t="n"/>
      <c r="F193" s="10" t="n"/>
      <c r="G193" s="10" t="n"/>
      <c r="H193" s="9">
        <f>IF(AND(ISNUMBER(F193),ISNUMBER(G193)),ROUND((G193-F193)*86400,0),"")</f>
        <v/>
      </c>
      <c r="I193" s="8" t="n"/>
      <c r="J193" s="9">
        <f>IF(ISNUMBER(I193),I193,IF(ISNUMBER(H193),H193,""))</f>
        <v/>
      </c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</row>
    <row r="194">
      <c r="A194" s="8" t="n"/>
      <c r="B194" s="9">
        <f>IF(A194="","",IFERROR(INDEX(Sessions!$R$2:$R$16,MATCH(A194,Sessions!$A$2:$A$16,0)),"?"))</f>
        <v/>
      </c>
      <c r="C194" s="8" t="n"/>
      <c r="D194" s="9">
        <f>IF(C194="","",IFERROR(INDEX(Tasks!$B$2:$B$7,MATCH(C194,Tasks!$A$2:$A$7,0)),"?"))</f>
        <v/>
      </c>
      <c r="E194" s="8" t="n"/>
      <c r="F194" s="10" t="n"/>
      <c r="G194" s="10" t="n"/>
      <c r="H194" s="9">
        <f>IF(AND(ISNUMBER(F194),ISNUMBER(G194)),ROUND((G194-F194)*86400,0),"")</f>
        <v/>
      </c>
      <c r="I194" s="8" t="n"/>
      <c r="J194" s="9">
        <f>IF(ISNUMBER(I194),I194,IF(ISNUMBER(H194),H194,""))</f>
        <v/>
      </c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</row>
    <row r="195">
      <c r="A195" s="8" t="n"/>
      <c r="B195" s="9">
        <f>IF(A195="","",IFERROR(INDEX(Sessions!$R$2:$R$16,MATCH(A195,Sessions!$A$2:$A$16,0)),"?"))</f>
        <v/>
      </c>
      <c r="C195" s="8" t="n"/>
      <c r="D195" s="9">
        <f>IF(C195="","",IFERROR(INDEX(Tasks!$B$2:$B$7,MATCH(C195,Tasks!$A$2:$A$7,0)),"?"))</f>
        <v/>
      </c>
      <c r="E195" s="8" t="n"/>
      <c r="F195" s="10" t="n"/>
      <c r="G195" s="10" t="n"/>
      <c r="H195" s="9">
        <f>IF(AND(ISNUMBER(F195),ISNUMBER(G195)),ROUND((G195-F195)*86400,0),"")</f>
        <v/>
      </c>
      <c r="I195" s="8" t="n"/>
      <c r="J195" s="9">
        <f>IF(ISNUMBER(I195),I195,IF(ISNUMBER(H195),H195,""))</f>
        <v/>
      </c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</row>
    <row r="196">
      <c r="A196" s="8" t="n"/>
      <c r="B196" s="9">
        <f>IF(A196="","",IFERROR(INDEX(Sessions!$R$2:$R$16,MATCH(A196,Sessions!$A$2:$A$16,0)),"?"))</f>
        <v/>
      </c>
      <c r="C196" s="8" t="n"/>
      <c r="D196" s="9">
        <f>IF(C196="","",IFERROR(INDEX(Tasks!$B$2:$B$7,MATCH(C196,Tasks!$A$2:$A$7,0)),"?"))</f>
        <v/>
      </c>
      <c r="E196" s="8" t="n"/>
      <c r="F196" s="10" t="n"/>
      <c r="G196" s="10" t="n"/>
      <c r="H196" s="9">
        <f>IF(AND(ISNUMBER(F196),ISNUMBER(G196)),ROUND((G196-F196)*86400,0),"")</f>
        <v/>
      </c>
      <c r="I196" s="8" t="n"/>
      <c r="J196" s="9">
        <f>IF(ISNUMBER(I196),I196,IF(ISNUMBER(H196),H196,""))</f>
        <v/>
      </c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</row>
    <row r="197">
      <c r="A197" s="8" t="n"/>
      <c r="B197" s="9">
        <f>IF(A197="","",IFERROR(INDEX(Sessions!$R$2:$R$16,MATCH(A197,Sessions!$A$2:$A$16,0)),"?"))</f>
        <v/>
      </c>
      <c r="C197" s="8" t="n"/>
      <c r="D197" s="9">
        <f>IF(C197="","",IFERROR(INDEX(Tasks!$B$2:$B$7,MATCH(C197,Tasks!$A$2:$A$7,0)),"?"))</f>
        <v/>
      </c>
      <c r="E197" s="8" t="n"/>
      <c r="F197" s="10" t="n"/>
      <c r="G197" s="10" t="n"/>
      <c r="H197" s="9">
        <f>IF(AND(ISNUMBER(F197),ISNUMBER(G197)),ROUND((G197-F197)*86400,0),"")</f>
        <v/>
      </c>
      <c r="I197" s="8" t="n"/>
      <c r="J197" s="9">
        <f>IF(ISNUMBER(I197),I197,IF(ISNUMBER(H197),H197,""))</f>
        <v/>
      </c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</row>
    <row r="198">
      <c r="A198" s="8" t="n"/>
      <c r="B198" s="9">
        <f>IF(A198="","",IFERROR(INDEX(Sessions!$R$2:$R$16,MATCH(A198,Sessions!$A$2:$A$16,0)),"?"))</f>
        <v/>
      </c>
      <c r="C198" s="8" t="n"/>
      <c r="D198" s="9">
        <f>IF(C198="","",IFERROR(INDEX(Tasks!$B$2:$B$7,MATCH(C198,Tasks!$A$2:$A$7,0)),"?"))</f>
        <v/>
      </c>
      <c r="E198" s="8" t="n"/>
      <c r="F198" s="10" t="n"/>
      <c r="G198" s="10" t="n"/>
      <c r="H198" s="9">
        <f>IF(AND(ISNUMBER(F198),ISNUMBER(G198)),ROUND((G198-F198)*86400,0),"")</f>
        <v/>
      </c>
      <c r="I198" s="8" t="n"/>
      <c r="J198" s="9">
        <f>IF(ISNUMBER(I198),I198,IF(ISNUMBER(H198),H198,""))</f>
        <v/>
      </c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</row>
    <row r="199">
      <c r="A199" s="8" t="n"/>
      <c r="B199" s="9">
        <f>IF(A199="","",IFERROR(INDEX(Sessions!$R$2:$R$16,MATCH(A199,Sessions!$A$2:$A$16,0)),"?"))</f>
        <v/>
      </c>
      <c r="C199" s="8" t="n"/>
      <c r="D199" s="9">
        <f>IF(C199="","",IFERROR(INDEX(Tasks!$B$2:$B$7,MATCH(C199,Tasks!$A$2:$A$7,0)),"?"))</f>
        <v/>
      </c>
      <c r="E199" s="8" t="n"/>
      <c r="F199" s="10" t="n"/>
      <c r="G199" s="10" t="n"/>
      <c r="H199" s="9">
        <f>IF(AND(ISNUMBER(F199),ISNUMBER(G199)),ROUND((G199-F199)*86400,0),"")</f>
        <v/>
      </c>
      <c r="I199" s="8" t="n"/>
      <c r="J199" s="9">
        <f>IF(ISNUMBER(I199),I199,IF(ISNUMBER(H199),H199,""))</f>
        <v/>
      </c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</row>
    <row r="200">
      <c r="A200" s="8" t="n"/>
      <c r="B200" s="9">
        <f>IF(A200="","",IFERROR(INDEX(Sessions!$R$2:$R$16,MATCH(A200,Sessions!$A$2:$A$16,0)),"?"))</f>
        <v/>
      </c>
      <c r="C200" s="8" t="n"/>
      <c r="D200" s="9">
        <f>IF(C200="","",IFERROR(INDEX(Tasks!$B$2:$B$7,MATCH(C200,Tasks!$A$2:$A$7,0)),"?"))</f>
        <v/>
      </c>
      <c r="E200" s="8" t="n"/>
      <c r="F200" s="10" t="n"/>
      <c r="G200" s="10" t="n"/>
      <c r="H200" s="9">
        <f>IF(AND(ISNUMBER(F200),ISNUMBER(G200)),ROUND((G200-F200)*86400,0),"")</f>
        <v/>
      </c>
      <c r="I200" s="8" t="n"/>
      <c r="J200" s="9">
        <f>IF(ISNUMBER(I200),I200,IF(ISNUMBER(H200),H200,""))</f>
        <v/>
      </c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</row>
  </sheetData>
  <autoFilter ref="A1:U200"/>
  <dataValidations count="5">
    <dataValidation sqref="C2:C200" showDropDown="0" showInputMessage="0" showErrorMessage="1" allowBlank="1" errorTitle="Invalid value" error="Pick a value from the drop-down list." type="list">
      <formula1>=Lists!$B$2:$B$7</formula1>
    </dataValidation>
    <dataValidation sqref="E2:E200" showDropDown="0" showInputMessage="1" showErrorMessage="1" allowBlank="1" errorTitle="Invalid value" error="Pick a value from the drop-down list." promptTitle="Hint" prompt="Unaided = no hint. Assisted = a neutral hint was given (stuck 60 s or asked twice). Abandoned = gave up or &gt;3 min. Application-blocked = a defect stopped the task." type="list">
      <formula1>=Lists!$A$2:$A$6</formula1>
    </dataValidation>
    <dataValidation sqref="N2:N200" showDropDown="0" showInputMessage="0" showErrorMessage="1" allowBlank="1" errorTitle="Invalid value" error="Pick a value from the drop-down list." type="list">
      <formula1>"Y,N"</formula1>
    </dataValidation>
    <dataValidation sqref="K2:M200" showDropDown="0" showInputMessage="0" showErrorMessage="1" allowBlank="1" errorTitle="Invalid number" error="Enter a whole number 0 or more." type="whole" operator="greaterThanOrEqual">
      <formula1>0</formula1>
    </dataValidation>
    <dataValidation sqref="P2:P200" showDropDown="0" showInputMessage="0" showErrorMessage="1" allowBlank="1" errorTitle="Invalid number" error="SEQ is 1 (very difficult) to 7 (very easy)." type="whole" operator="between">
      <formula1>1</formula1>
      <formula2>7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6" customWidth="1" min="12" max="12"/>
    <col width="14" customWidth="1" min="13" max="13"/>
    <col width="30" customWidth="1" min="14" max="14"/>
  </cols>
  <sheetData>
    <row r="1" ht="40" customHeight="1">
      <c r="A1" s="7" t="inlineStr">
        <is>
          <t>Participant ID</t>
        </is>
      </c>
      <c r="B1" s="7" t="inlineStr">
        <is>
          <t>Q1</t>
        </is>
      </c>
      <c r="C1" s="7" t="inlineStr">
        <is>
          <t>Q2</t>
        </is>
      </c>
      <c r="D1" s="7" t="inlineStr">
        <is>
          <t>Q3</t>
        </is>
      </c>
      <c r="E1" s="7" t="inlineStr">
        <is>
          <t>Q4</t>
        </is>
      </c>
      <c r="F1" s="7" t="inlineStr">
        <is>
          <t>Q5</t>
        </is>
      </c>
      <c r="G1" s="7" t="inlineStr">
        <is>
          <t>Q6</t>
        </is>
      </c>
      <c r="H1" s="7" t="inlineStr">
        <is>
          <t>Q7</t>
        </is>
      </c>
      <c r="I1" s="7" t="inlineStr">
        <is>
          <t>Q8</t>
        </is>
      </c>
      <c r="J1" s="7" t="inlineStr">
        <is>
          <t>Q9</t>
        </is>
      </c>
      <c r="K1" s="7" t="inlineStr">
        <is>
          <t>Q10</t>
        </is>
      </c>
      <c r="L1" s="7" t="inlineStr">
        <is>
          <t>SUS score 0-100 (auto)</t>
        </is>
      </c>
      <c r="M1" s="7" t="inlineStr">
        <is>
          <t>All 10 answered? (auto)</t>
        </is>
      </c>
      <c r="N1" s="7" t="inlineStr">
        <is>
          <t>Notes</t>
        </is>
      </c>
    </row>
    <row r="2">
      <c r="A2" s="8" t="inlineStr">
        <is>
          <t>P01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11">
        <f>IF(COUNT(B2:K2)=10,2.5*((B2-1)+(5-C2)+(D2-1)+(5-E2)+(F2-1)+(5-G2)+(H2-1)+(5-I2)+(J2-1)+(5-K2)),"")</f>
        <v/>
      </c>
      <c r="M2" s="9">
        <f>IF(A2="","",IF(COUNT(B2:K2)=10,"Yes","No"))</f>
        <v/>
      </c>
      <c r="N2" s="8" t="n"/>
    </row>
    <row r="3">
      <c r="A3" s="8" t="inlineStr">
        <is>
          <t>P02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11">
        <f>IF(COUNT(B3:K3)=10,2.5*((B3-1)+(5-C3)+(D3-1)+(5-E3)+(F3-1)+(5-G3)+(H3-1)+(5-I3)+(J3-1)+(5-K3)),"")</f>
        <v/>
      </c>
      <c r="M3" s="9">
        <f>IF(A3="","",IF(COUNT(B3:K3)=10,"Yes","No"))</f>
        <v/>
      </c>
      <c r="N3" s="8" t="n"/>
    </row>
    <row r="4">
      <c r="A4" s="8" t="inlineStr">
        <is>
          <t>P03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11">
        <f>IF(COUNT(B4:K4)=10,2.5*((B4-1)+(5-C4)+(D4-1)+(5-E4)+(F4-1)+(5-G4)+(H4-1)+(5-I4)+(J4-1)+(5-K4)),"")</f>
        <v/>
      </c>
      <c r="M4" s="9">
        <f>IF(A4="","",IF(COUNT(B4:K4)=10,"Yes","No"))</f>
        <v/>
      </c>
      <c r="N4" s="8" t="n"/>
    </row>
    <row r="5">
      <c r="A5" s="8" t="inlineStr">
        <is>
          <t>P04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11">
        <f>IF(COUNT(B5:K5)=10,2.5*((B5-1)+(5-C5)+(D5-1)+(5-E5)+(F5-1)+(5-G5)+(H5-1)+(5-I5)+(J5-1)+(5-K5)),"")</f>
        <v/>
      </c>
      <c r="M5" s="9">
        <f>IF(A5="","",IF(COUNT(B5:K5)=10,"Yes","No"))</f>
        <v/>
      </c>
      <c r="N5" s="8" t="n"/>
    </row>
    <row r="6">
      <c r="A6" s="8" t="inlineStr">
        <is>
          <t>P05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11">
        <f>IF(COUNT(B6:K6)=10,2.5*((B6-1)+(5-C6)+(D6-1)+(5-E6)+(F6-1)+(5-G6)+(H6-1)+(5-I6)+(J6-1)+(5-K6)),"")</f>
        <v/>
      </c>
      <c r="M6" s="9">
        <f>IF(A6="","",IF(COUNT(B6:K6)=10,"Yes","No"))</f>
        <v/>
      </c>
      <c r="N6" s="8" t="n"/>
    </row>
    <row r="7">
      <c r="A7" s="8" t="inlineStr">
        <is>
          <t>P06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11">
        <f>IF(COUNT(B7:K7)=10,2.5*((B7-1)+(5-C7)+(D7-1)+(5-E7)+(F7-1)+(5-G7)+(H7-1)+(5-I7)+(J7-1)+(5-K7)),"")</f>
        <v/>
      </c>
      <c r="M7" s="9">
        <f>IF(A7="","",IF(COUNT(B7:K7)=10,"Yes","No"))</f>
        <v/>
      </c>
      <c r="N7" s="8" t="n"/>
    </row>
    <row r="8">
      <c r="A8" s="8" t="inlineStr">
        <is>
          <t>P07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11">
        <f>IF(COUNT(B8:K8)=10,2.5*((B8-1)+(5-C8)+(D8-1)+(5-E8)+(F8-1)+(5-G8)+(H8-1)+(5-I8)+(J8-1)+(5-K8)),"")</f>
        <v/>
      </c>
      <c r="M8" s="9">
        <f>IF(A8="","",IF(COUNT(B8:K8)=10,"Yes","No"))</f>
        <v/>
      </c>
      <c r="N8" s="8" t="n"/>
    </row>
    <row r="9">
      <c r="A9" s="8" t="inlineStr">
        <is>
          <t>P08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11">
        <f>IF(COUNT(B9:K9)=10,2.5*((B9-1)+(5-C9)+(D9-1)+(5-E9)+(F9-1)+(5-G9)+(H9-1)+(5-I9)+(J9-1)+(5-K9)),"")</f>
        <v/>
      </c>
      <c r="M9" s="9">
        <f>IF(A9="","",IF(COUNT(B9:K9)=10,"Yes","No"))</f>
        <v/>
      </c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11">
        <f>IF(COUNT(B10:K10)=10,2.5*((B10-1)+(5-C10)+(D10-1)+(5-E10)+(F10-1)+(5-G10)+(H10-1)+(5-I10)+(J10-1)+(5-K10)),"")</f>
        <v/>
      </c>
      <c r="M10" s="9">
        <f>IF(A10="","",IF(COUNT(B10:K10)=10,"Yes","No"))</f>
        <v/>
      </c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11">
        <f>IF(COUNT(B11:K11)=10,2.5*((B11-1)+(5-C11)+(D11-1)+(5-E11)+(F11-1)+(5-G11)+(H11-1)+(5-I11)+(J11-1)+(5-K11)),"")</f>
        <v/>
      </c>
      <c r="M11" s="9">
        <f>IF(A11="","",IF(COUNT(B11:K11)=10,"Yes","No"))</f>
        <v/>
      </c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11">
        <f>IF(COUNT(B12:K12)=10,2.5*((B12-1)+(5-C12)+(D12-1)+(5-E12)+(F12-1)+(5-G12)+(H12-1)+(5-I12)+(J12-1)+(5-K12)),"")</f>
        <v/>
      </c>
      <c r="M12" s="9">
        <f>IF(A12="","",IF(COUNT(B12:K12)=10,"Yes","No"))</f>
        <v/>
      </c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11">
        <f>IF(COUNT(B13:K13)=10,2.5*((B13-1)+(5-C13)+(D13-1)+(5-E13)+(F13-1)+(5-G13)+(H13-1)+(5-I13)+(J13-1)+(5-K13)),"")</f>
        <v/>
      </c>
      <c r="M13" s="9">
        <f>IF(A13="","",IF(COUNT(B13:K13)=10,"Yes","No"))</f>
        <v/>
      </c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11">
        <f>IF(COUNT(B14:K14)=10,2.5*((B14-1)+(5-C14)+(D14-1)+(5-E14)+(F14-1)+(5-G14)+(H14-1)+(5-I14)+(J14-1)+(5-K14)),"")</f>
        <v/>
      </c>
      <c r="M14" s="9">
        <f>IF(A14="","",IF(COUNT(B14:K14)=10,"Yes","No"))</f>
        <v/>
      </c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11">
        <f>IF(COUNT(B15:K15)=10,2.5*((B15-1)+(5-C15)+(D15-1)+(5-E15)+(F15-1)+(5-G15)+(H15-1)+(5-I15)+(J15-1)+(5-K15)),"")</f>
        <v/>
      </c>
      <c r="M15" s="9">
        <f>IF(A15="","",IF(COUNT(B15:K15)=10,"Yes","No"))</f>
        <v/>
      </c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11">
        <f>IF(COUNT(B16:K16)=10,2.5*((B16-1)+(5-C16)+(D16-1)+(5-E16)+(F16-1)+(5-G16)+(H16-1)+(5-I16)+(J16-1)+(5-K16)),"")</f>
        <v/>
      </c>
      <c r="M16" s="9">
        <f>IF(A16="","",IF(COUNT(B16:K16)=10,"Yes","No"))</f>
        <v/>
      </c>
      <c r="N16" s="8" t="n"/>
    </row>
    <row r="19">
      <c r="A19" s="12" t="inlineStr">
        <is>
          <t>Scoring (Brooke, 1996): odd items score-1, even items 5-score, sum the ten values, multiply by 2.5 (0-100). It is NOT a percentage and NOT the mean of the raw answers.</t>
        </is>
      </c>
    </row>
    <row r="21">
      <c r="A21" s="3" t="inlineStr">
        <is>
          <t>Q1</t>
        </is>
      </c>
      <c r="B21" s="13" t="inlineStr">
        <is>
          <t>I think that I would like to use this system frequently.</t>
        </is>
      </c>
    </row>
    <row r="22">
      <c r="A22" s="3" t="inlineStr">
        <is>
          <t>Q2</t>
        </is>
      </c>
      <c r="B22" s="13" t="inlineStr">
        <is>
          <t>I found the system unnecessarily complex.</t>
        </is>
      </c>
    </row>
    <row r="23">
      <c r="A23" s="3" t="inlineStr">
        <is>
          <t>Q3</t>
        </is>
      </c>
      <c r="B23" s="13" t="inlineStr">
        <is>
          <t>I thought the system was easy to use.</t>
        </is>
      </c>
    </row>
    <row r="24">
      <c r="A24" s="3" t="inlineStr">
        <is>
          <t>Q4</t>
        </is>
      </c>
      <c r="B24" s="13" t="inlineStr">
        <is>
          <t>I think that I would need the support of a technical person to be able to use this system.</t>
        </is>
      </c>
    </row>
    <row r="25">
      <c r="A25" s="3" t="inlineStr">
        <is>
          <t>Q5</t>
        </is>
      </c>
      <c r="B25" s="13" t="inlineStr">
        <is>
          <t>I found the various functions in this system were well integrated.</t>
        </is>
      </c>
    </row>
    <row r="26">
      <c r="A26" s="3" t="inlineStr">
        <is>
          <t>Q6</t>
        </is>
      </c>
      <c r="B26" s="13" t="inlineStr">
        <is>
          <t>I thought there was too much inconsistency in this system.</t>
        </is>
      </c>
    </row>
    <row r="27">
      <c r="A27" s="3" t="inlineStr">
        <is>
          <t>Q7</t>
        </is>
      </c>
      <c r="B27" s="13" t="inlineStr">
        <is>
          <t>I would imagine that most people would learn to use this system very quickly.</t>
        </is>
      </c>
    </row>
    <row r="28">
      <c r="A28" s="3" t="inlineStr">
        <is>
          <t>Q8</t>
        </is>
      </c>
      <c r="B28" s="13" t="inlineStr">
        <is>
          <t>I found the system very cumbersome to use.</t>
        </is>
      </c>
    </row>
    <row r="29">
      <c r="A29" s="3" t="inlineStr">
        <is>
          <t>Q9</t>
        </is>
      </c>
      <c r="B29" s="13" t="inlineStr">
        <is>
          <t>I felt very confident using the system.</t>
        </is>
      </c>
    </row>
    <row r="30">
      <c r="A30" s="3" t="inlineStr">
        <is>
          <t>Q10</t>
        </is>
      </c>
      <c r="B30" s="13" t="inlineStr">
        <is>
          <t>I needed to learn a lot of things before I could get going with this system.</t>
        </is>
      </c>
    </row>
  </sheetData>
  <dataValidations count="1">
    <dataValidation sqref="B2:K16" showDropDown="0" showInputMessage="0" showErrorMessage="1" allowBlank="1" errorTitle="Invalid number" error="SUS answers are whole numbers 1 to 5.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62" customWidth="1" min="3" max="3"/>
    <col width="46" customWidth="1" min="4" max="4"/>
    <col width="20" customWidth="1" min="5" max="5"/>
  </cols>
  <sheetData>
    <row r="1" ht="42" customHeight="1">
      <c r="A1" s="7" t="inlineStr">
        <is>
          <t>Task ID</t>
        </is>
      </c>
      <c r="B1" s="7" t="inlineStr">
        <is>
          <t>Title</t>
        </is>
      </c>
      <c r="C1" s="7" t="inlineStr">
        <is>
          <t>Scenario given to participant (PDF Table 15, abridged)</t>
        </is>
      </c>
      <c r="D1" s="7" t="inlineStr">
        <is>
          <t>Success criterion (PDF Table 15)</t>
        </is>
      </c>
      <c r="E1" s="7" t="inlineStr">
        <is>
          <t>Reqs / issue</t>
        </is>
      </c>
    </row>
    <row r="2">
      <c r="A2" s="14" t="inlineStr">
        <is>
          <t>T1</t>
        </is>
      </c>
      <c r="B2" s="14" t="inlineStr">
        <is>
          <t>Sign in</t>
        </is>
      </c>
      <c r="C2" s="14" t="inlineStr">
        <is>
          <t>You are new to DonorLink. Sign in with the test account you were given.</t>
        </is>
      </c>
      <c r="D2" s="14" t="inlineStr">
        <is>
          <t>Reaches Home without help</t>
        </is>
      </c>
      <c r="E2" s="14" t="inlineStr">
        <is>
          <t>NFR08</t>
        </is>
      </c>
    </row>
    <row r="3">
      <c r="A3" s="14" t="inlineStr">
        <is>
          <t>T2</t>
        </is>
      </c>
      <c r="B3" s="14" t="inlineStr">
        <is>
          <t>Create emergency request</t>
        </is>
      </c>
      <c r="C3" s="14" t="inlineStr">
        <is>
          <t>Your uncle needs 2 units of O+ blood urgently at a hospital in Colombo. Ask for help using the app.</t>
        </is>
      </c>
      <c r="D3" s="14" t="inlineStr">
        <is>
          <t>Request submitted and listed as waiting for verification</t>
        </is>
      </c>
      <c r="E3" s="14" t="inlineStr">
        <is>
          <t>FR01, NFR01</t>
        </is>
      </c>
    </row>
    <row r="4">
      <c r="A4" s="14" t="inlineStr">
        <is>
          <t>T3</t>
        </is>
      </c>
      <c r="B4" s="14" t="inlineStr">
        <is>
          <t>Check status and response count</t>
        </is>
      </c>
      <c r="C4" s="14" t="inlineStr">
        <is>
          <t>Find out whether your request has been verified and how many donors have responded.</t>
        </is>
      </c>
      <c r="D4" s="14" t="inlineStr">
        <is>
          <t>States the correct status and response count</t>
        </is>
      </c>
      <c r="E4" s="14" t="inlineStr">
        <is>
          <t>FR03, FR07, UI-03</t>
        </is>
      </c>
    </row>
    <row r="5">
      <c r="A5" s="14" t="inlineStr">
        <is>
          <t>T4</t>
        </is>
      </c>
      <c r="B5" s="14" t="inlineStr">
        <is>
          <t>Set donor availability</t>
        </is>
      </c>
      <c r="C5" s="14" t="inlineStr">
        <is>
          <t>You can donate today until 6 pm. Make sure the app knows this.</t>
        </is>
      </c>
      <c r="D5" s="14" t="inlineStr">
        <is>
          <t>Availability set to available with an end time</t>
        </is>
      </c>
      <c r="E5" s="14" t="inlineStr">
        <is>
          <t>FR04, UI-01</t>
        </is>
      </c>
    </row>
    <row r="6">
      <c r="A6" s="14" t="inlineStr">
        <is>
          <t>T5</t>
        </is>
      </c>
      <c r="B6" s="14" t="inlineStr">
        <is>
          <t>Respond to an alert</t>
        </is>
      </c>
      <c r="C6" s="14" t="inlineStr">
        <is>
          <t>You received an alert asking for your blood group. Look at it and agree to donate.</t>
        </is>
      </c>
      <c r="D6" s="14" t="inlineStr">
        <is>
          <t>Opens the alert and accepts the right request</t>
        </is>
      </c>
      <c r="E6" s="14" t="inlineStr">
        <is>
          <t>FR05, FR06, UI-05</t>
        </is>
      </c>
    </row>
    <row r="7">
      <c r="A7" s="14" t="inlineStr">
        <is>
          <t>T6</t>
        </is>
      </c>
      <c r="B7" s="14" t="inlineStr">
        <is>
          <t>Find history</t>
        </is>
      </c>
      <c r="C7" s="14" t="inlineStr">
        <is>
          <t>Find your donation and request history.</t>
        </is>
      </c>
      <c r="D7" s="14" t="inlineStr">
        <is>
          <t>History opened and a past record identified</t>
        </is>
      </c>
      <c r="E7" s="14" t="inlineStr">
        <is>
          <t>FR10, UI-04</t>
        </is>
      </c>
    </row>
    <row r="9">
      <c r="A9" s="12" t="inlineStr">
        <is>
          <t>Source: IT3060 Milestones 01-03 Final Report, Table 15. Full facilitator wording and observable criteria: task-scenarios.md and task-success-criteria.md.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3" t="inlineStr">
        <is>
          <t>Outcomes</t>
        </is>
      </c>
      <c r="B1" s="3" t="inlineStr">
        <is>
          <t>Task IDs</t>
        </is>
      </c>
      <c r="C1" s="3" t="inlineStr">
        <is>
          <t>Environment</t>
        </is>
      </c>
      <c r="D1" s="3" t="inlineStr">
        <is>
          <t>Impact</t>
        </is>
      </c>
      <c r="E1" s="3" t="inlineStr">
        <is>
          <t>Reproducibility</t>
        </is>
      </c>
      <c r="F1" s="3" t="inlineStr">
        <is>
          <t>Status</t>
        </is>
      </c>
      <c r="G1" s="3" t="inlineStr">
        <is>
          <t>Prototype issue</t>
        </is>
      </c>
      <c r="H1" s="3" t="inlineStr">
        <is>
          <t>Source</t>
        </is>
      </c>
    </row>
    <row r="2">
      <c r="A2" s="13" t="inlineStr">
        <is>
          <t>Completed unaided</t>
        </is>
      </c>
      <c r="B2" s="13" t="inlineStr">
        <is>
          <t>T1</t>
        </is>
      </c>
      <c r="C2" s="13" t="inlineStr">
        <is>
          <t>Android physical device</t>
        </is>
      </c>
      <c r="D2" s="13" t="inlineStr">
        <is>
          <t>None</t>
        </is>
      </c>
      <c r="E2" s="13" t="inlineStr">
        <is>
          <t>Always</t>
        </is>
      </c>
      <c r="F2" s="13" t="inlineStr">
        <is>
          <t>Needs verification</t>
        </is>
      </c>
      <c r="G2" s="13" t="inlineStr">
        <is>
          <t>None</t>
        </is>
      </c>
      <c r="H2" s="13" t="inlineStr">
        <is>
          <t>Observed in participant session</t>
        </is>
      </c>
    </row>
    <row r="3">
      <c r="A3" s="13" t="inlineStr">
        <is>
          <t>Completed with assistance</t>
        </is>
      </c>
      <c r="B3" s="13" t="inlineStr">
        <is>
          <t>T2</t>
        </is>
      </c>
      <c r="C3" s="13" t="inlineStr">
        <is>
          <t>Android emulator</t>
        </is>
      </c>
      <c r="D3" s="13" t="inlineStr">
        <is>
          <t>Slowed participant</t>
        </is>
      </c>
      <c r="E3" s="13" t="inlineStr">
        <is>
          <t>Sometimes</t>
        </is>
      </c>
      <c r="F3" s="13" t="inlineStr">
        <is>
          <t>Confirmed</t>
        </is>
      </c>
      <c r="G3" s="13" t="inlineStr">
        <is>
          <t>UI-01</t>
        </is>
      </c>
      <c r="H3" s="13" t="inlineStr">
        <is>
          <t>Automated test</t>
        </is>
      </c>
    </row>
    <row r="4">
      <c r="A4" s="13" t="inlineStr">
        <is>
          <t>Abandoned</t>
        </is>
      </c>
      <c r="B4" s="13" t="inlineStr">
        <is>
          <t>T3</t>
        </is>
      </c>
      <c r="C4" s="13" t="inlineStr">
        <is>
          <t>Expo web preview</t>
        </is>
      </c>
      <c r="D4" s="13" t="inlineStr">
        <is>
          <t>Caused errors</t>
        </is>
      </c>
      <c r="E4" s="13" t="inlineStr">
        <is>
          <t>Once only</t>
        </is>
      </c>
      <c r="F4" s="13" t="inlineStr">
        <is>
          <t>Fixed - awaiting re-test</t>
        </is>
      </c>
      <c r="G4" s="13" t="inlineStr">
        <is>
          <t>UI-02</t>
        </is>
      </c>
      <c r="H4" s="13" t="inlineStr">
        <is>
          <t>Code inspection (not yet observed)</t>
        </is>
      </c>
    </row>
    <row r="5">
      <c r="A5" s="13" t="inlineStr">
        <is>
          <t>Application-blocked</t>
        </is>
      </c>
      <c r="B5" s="13" t="inlineStr">
        <is>
          <t>T4</t>
        </is>
      </c>
      <c r="C5" s="13" t="inlineStr">
        <is>
          <t>Other (note below)</t>
        </is>
      </c>
      <c r="D5" s="13" t="inlineStr">
        <is>
          <t>Required assistance</t>
        </is>
      </c>
      <c r="E5" s="13" t="inlineStr">
        <is>
          <t>Not reproduced</t>
        </is>
      </c>
      <c r="F5" s="13" t="inlineStr">
        <is>
          <t>Fixed - verified</t>
        </is>
      </c>
      <c r="G5" s="13" t="inlineStr">
        <is>
          <t>UI-03</t>
        </is>
      </c>
      <c r="H5" s="13" t="inlineStr">
        <is>
          <t>Facilitator observation (no participant)</t>
        </is>
      </c>
    </row>
    <row r="6">
      <c r="A6" s="13" t="inlineStr">
        <is>
          <t>Not attempted</t>
        </is>
      </c>
      <c r="B6" s="13" t="inlineStr">
        <is>
          <t>T5</t>
        </is>
      </c>
      <c r="D6" s="13" t="inlineStr">
        <is>
          <t>Prevented completion</t>
        </is>
      </c>
      <c r="F6" s="13" t="inlineStr">
        <is>
          <t>Won't fix</t>
        </is>
      </c>
      <c r="G6" s="13" t="inlineStr">
        <is>
          <t>UI-04</t>
        </is>
      </c>
    </row>
    <row r="7">
      <c r="B7" s="13" t="inlineStr">
        <is>
          <t>T6</t>
        </is>
      </c>
      <c r="F7" s="13" t="inlineStr">
        <is>
          <t>Duplicate</t>
        </is>
      </c>
      <c r="G7" s="13" t="inlineStr">
        <is>
          <t>UI-05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2026-10-12T08:15:02Z</dcterms:created>
  <dcterms:modified xsi:type="dcterms:W3CDTF">2026-10-12T08:15:02Z</dcterms:modified>
</cp:coreProperties>
</file>